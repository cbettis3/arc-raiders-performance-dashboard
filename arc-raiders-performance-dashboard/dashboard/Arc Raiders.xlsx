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bett\Desktop\arc-raiders-performance-dashboard\dashboard\"/>
    </mc:Choice>
  </mc:AlternateContent>
  <xr:revisionPtr revIDLastSave="0" documentId="13_ncr:1_{83BCAAC5-876F-431F-A73C-7162EC46DE2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R Stats Dash" sheetId="1" r:id="rId1"/>
    <sheet name="Arc_Raiders_Stats" sheetId="2" r:id="rId2"/>
  </sheets>
  <definedNames>
    <definedName name="MatchMinutes">Arc_Raiders_Stats!$Z:$Z</definedName>
  </definedNames>
  <calcPr calcId="191029"/>
  <pivotCaches>
    <pivotCache cacheId="5" r:id="rId3"/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 a="1"/>
  <c r="D10" i="1" s="1"/>
  <c r="D9" i="1" a="1"/>
  <c r="D9" i="1" s="1"/>
  <c r="X201" i="2" a="1"/>
  <c r="X201" i="2" s="1"/>
  <c r="W201" i="2" a="1"/>
  <c r="W201" i="2" s="1"/>
  <c r="W200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2" i="2"/>
  <c r="H3" i="1" a="1"/>
  <c r="H3" i="1" s="1"/>
  <c r="F3" i="1" a="1"/>
  <c r="F3" i="1" s="1"/>
  <c r="J56" i="2"/>
  <c r="I56" i="2"/>
  <c r="F56" i="2"/>
  <c r="J55" i="2"/>
  <c r="I55" i="2"/>
  <c r="F55" i="2"/>
  <c r="J54" i="2"/>
  <c r="I54" i="2"/>
  <c r="F54" i="2"/>
  <c r="J53" i="2"/>
  <c r="I53" i="2"/>
  <c r="F53" i="2"/>
  <c r="J52" i="2"/>
  <c r="I52" i="2"/>
  <c r="F52" i="2"/>
  <c r="J51" i="2"/>
  <c r="I51" i="2"/>
  <c r="F51" i="2"/>
  <c r="J50" i="2"/>
  <c r="I50" i="2"/>
  <c r="F50" i="2"/>
  <c r="J49" i="2"/>
  <c r="I49" i="2"/>
  <c r="F49" i="2"/>
  <c r="J48" i="2"/>
  <c r="I48" i="2"/>
  <c r="F48" i="2"/>
  <c r="J47" i="2"/>
  <c r="I47" i="2"/>
  <c r="F47" i="2"/>
  <c r="J46" i="2"/>
  <c r="I46" i="2"/>
  <c r="F46" i="2"/>
  <c r="J45" i="2"/>
  <c r="I45" i="2"/>
  <c r="F45" i="2"/>
  <c r="J44" i="2"/>
  <c r="I44" i="2"/>
  <c r="F44" i="2"/>
  <c r="J43" i="2"/>
  <c r="I43" i="2"/>
  <c r="F43" i="2"/>
  <c r="J42" i="2"/>
  <c r="I42" i="2"/>
  <c r="F42" i="2"/>
  <c r="J41" i="2"/>
  <c r="I41" i="2"/>
  <c r="F41" i="2"/>
  <c r="J40" i="2"/>
  <c r="I40" i="2"/>
  <c r="F40" i="2"/>
  <c r="J39" i="2"/>
  <c r="I39" i="2"/>
  <c r="F39" i="2"/>
  <c r="J38" i="2"/>
  <c r="I38" i="2"/>
  <c r="F38" i="2"/>
  <c r="J37" i="2"/>
  <c r="I37" i="2"/>
  <c r="F37" i="2"/>
  <c r="J36" i="2"/>
  <c r="I36" i="2"/>
  <c r="F36" i="2"/>
  <c r="J35" i="2"/>
  <c r="I35" i="2"/>
  <c r="F35" i="2"/>
  <c r="J34" i="2"/>
  <c r="I34" i="2"/>
  <c r="F34" i="2"/>
  <c r="J33" i="2"/>
  <c r="I33" i="2"/>
  <c r="F33" i="2"/>
  <c r="J32" i="2"/>
  <c r="I32" i="2"/>
  <c r="F32" i="2"/>
  <c r="J31" i="2"/>
  <c r="I31" i="2"/>
  <c r="F31" i="2"/>
  <c r="J30" i="2"/>
  <c r="I30" i="2"/>
  <c r="F30" i="2"/>
  <c r="J29" i="2"/>
  <c r="I29" i="2"/>
  <c r="F29" i="2"/>
  <c r="J28" i="2"/>
  <c r="I28" i="2"/>
  <c r="F28" i="2"/>
  <c r="J27" i="2"/>
  <c r="I27" i="2"/>
  <c r="F27" i="2"/>
  <c r="J26" i="2"/>
  <c r="I26" i="2"/>
  <c r="F26" i="2"/>
  <c r="J25" i="2"/>
  <c r="I25" i="2"/>
  <c r="F25" i="2"/>
  <c r="J24" i="2"/>
  <c r="I24" i="2"/>
  <c r="F24" i="2"/>
  <c r="J23" i="2"/>
  <c r="I23" i="2"/>
  <c r="F23" i="2"/>
  <c r="J22" i="2"/>
  <c r="I22" i="2"/>
  <c r="F22" i="2"/>
  <c r="J21" i="2"/>
  <c r="I21" i="2"/>
  <c r="F21" i="2"/>
  <c r="J20" i="2"/>
  <c r="I20" i="2"/>
  <c r="F20" i="2"/>
  <c r="J19" i="2"/>
  <c r="I19" i="2"/>
  <c r="F19" i="2"/>
  <c r="J18" i="2"/>
  <c r="I18" i="2"/>
  <c r="F18" i="2"/>
  <c r="J17" i="2"/>
  <c r="I17" i="2"/>
  <c r="F17" i="2"/>
  <c r="J16" i="2"/>
  <c r="I16" i="2"/>
  <c r="F16" i="2"/>
  <c r="J15" i="2"/>
  <c r="I15" i="2"/>
  <c r="F15" i="2"/>
  <c r="J14" i="2"/>
  <c r="I14" i="2"/>
  <c r="F14" i="2"/>
  <c r="J13" i="2"/>
  <c r="I13" i="2"/>
  <c r="F13" i="2"/>
  <c r="J12" i="2"/>
  <c r="I12" i="2"/>
  <c r="F12" i="2"/>
  <c r="J11" i="2"/>
  <c r="I11" i="2"/>
  <c r="F11" i="2"/>
  <c r="J10" i="2"/>
  <c r="I10" i="2"/>
  <c r="F10" i="2"/>
  <c r="J9" i="2"/>
  <c r="I9" i="2"/>
  <c r="F9" i="2"/>
  <c r="J8" i="2"/>
  <c r="I8" i="2"/>
  <c r="F8" i="2"/>
  <c r="J7" i="2"/>
  <c r="I7" i="2"/>
  <c r="F7" i="2"/>
  <c r="J6" i="2"/>
  <c r="I6" i="2"/>
  <c r="F6" i="2"/>
  <c r="J5" i="2"/>
  <c r="I5" i="2"/>
  <c r="F5" i="2"/>
  <c r="J4" i="2"/>
  <c r="I4" i="2"/>
  <c r="F4" i="2"/>
  <c r="J3" i="2"/>
  <c r="I3" i="2"/>
  <c r="F3" i="2"/>
  <c r="J2" i="2"/>
  <c r="I2" i="2"/>
  <c r="F2" i="2"/>
  <c r="H9" i="1"/>
  <c r="H8" i="1"/>
  <c r="D8" i="1"/>
  <c r="H7" i="1"/>
  <c r="D7" i="1"/>
  <c r="H6" i="1"/>
  <c r="D3" i="1"/>
  <c r="B3" i="1"/>
  <c r="D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<sst xmlns="http://schemas.openxmlformats.org/spreadsheetml/2006/main" count="316" uniqueCount="55">
  <si>
    <t>ARC RAIDERS PERFORMANCE DASH</t>
  </si>
  <si>
    <t>🎮 Total Matches</t>
  </si>
  <si>
    <t>🏆 Survival Rate</t>
  </si>
  <si>
    <t>🗺️ Best Map 💰</t>
  </si>
  <si>
    <t>🗺️ Worst Map 📉</t>
  </si>
  <si>
    <t>SUMMARY</t>
  </si>
  <si>
    <t>DETAILED INSIGHTS</t>
  </si>
  <si>
    <t>💰 Avg Loot Gain %</t>
  </si>
  <si>
    <t>🕒 Longest Match</t>
  </si>
  <si>
    <t>⏱️ Average Match Duration (mins)</t>
  </si>
  <si>
    <t>⚡ Shortest Match</t>
  </si>
  <si>
    <t>💎 Total Loot Gained</t>
  </si>
  <si>
    <t>⬆️ Highest Single Loot Gain</t>
  </si>
  <si>
    <t>⚔️ Most Played Map</t>
  </si>
  <si>
    <t>🔻 Largest Loss</t>
  </si>
  <si>
    <t>🧙 Favorite Loadout Type</t>
  </si>
  <si>
    <t>PERFORMANCE BREAKDOWN</t>
  </si>
  <si>
    <t>Map</t>
  </si>
  <si>
    <t>Survival %</t>
  </si>
  <si>
    <t>Loadout Type</t>
  </si>
  <si>
    <t>Avg. Loot Gained %</t>
  </si>
  <si>
    <t>Buried City</t>
  </si>
  <si>
    <t>Free Gear</t>
  </si>
  <si>
    <t>Dam Battlegrounds</t>
  </si>
  <si>
    <t>High Gear</t>
  </si>
  <si>
    <t>Spaceport</t>
  </si>
  <si>
    <t>Low Gear</t>
  </si>
  <si>
    <t>The Blue Gate</t>
  </si>
  <si>
    <t>Date</t>
  </si>
  <si>
    <t>Match Duration (mins)</t>
  </si>
  <si>
    <t>Map Event</t>
  </si>
  <si>
    <t>Event Loot (Y/N)</t>
  </si>
  <si>
    <t>Starting Loot Value</t>
  </si>
  <si>
    <t>Loot Gained</t>
  </si>
  <si>
    <t>Total Value</t>
  </si>
  <si>
    <t>Loot Gained %</t>
  </si>
  <si>
    <t>Solo/Duo/Trio</t>
  </si>
  <si>
    <t>Survived (Y/N)</t>
  </si>
  <si>
    <t>Survived Num</t>
  </si>
  <si>
    <t>None</t>
  </si>
  <si>
    <t>N</t>
  </si>
  <si>
    <t>Duo</t>
  </si>
  <si>
    <t>Y</t>
  </si>
  <si>
    <t>Solo</t>
  </si>
  <si>
    <t>Lush Blooms</t>
  </si>
  <si>
    <t>Launch Tower Loot</t>
  </si>
  <si>
    <t>Trio</t>
  </si>
  <si>
    <t>Hidden Bunker</t>
  </si>
  <si>
    <t>Electromagnetic Storm</t>
  </si>
  <si>
    <t>Husk Graveyard</t>
  </si>
  <si>
    <t>Uncovered Caches</t>
  </si>
  <si>
    <t>Matriarch</t>
  </si>
  <si>
    <t>Stella Montis</t>
  </si>
  <si>
    <t>Night Raid</t>
  </si>
  <si>
    <t>Avg Loot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</si>
</sst>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&quot;:&quot;ss"/>
    <numFmt numFmtId="165" formatCode="mm&quot;/&quot;dd&quot;/&quot;yyyy"/>
  </numFmts>
  <fonts count="2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8"/>
      <color rgb="FF00E0FF"/>
      <name val="Orbitron"/>
    </font>
    <font>
      <b/>
      <sz val="12"/>
      <color rgb="FFFF6B00"/>
      <name val="Roboto Mono"/>
    </font>
    <font>
      <sz val="10"/>
      <name val="Arial"/>
    </font>
    <font>
      <b/>
      <sz val="12"/>
      <color rgb="FFE6E6E6"/>
      <name val="Roboto Mono"/>
    </font>
    <font>
      <b/>
      <sz val="16"/>
      <color rgb="FFFF6B00"/>
      <name val="Roboto"/>
    </font>
    <font>
      <b/>
      <sz val="16"/>
      <color rgb="FF00E0FF"/>
      <name val="Roboto"/>
    </font>
    <font>
      <b/>
      <sz val="11"/>
      <color rgb="FFE6E6E6"/>
      <name val="Roboto"/>
    </font>
    <font>
      <sz val="10"/>
      <color theme="1"/>
      <name val="Roboto"/>
    </font>
    <font>
      <b/>
      <sz val="15"/>
      <color rgb="FFFF6B00"/>
      <name val="Roboto Mono"/>
    </font>
    <font>
      <b/>
      <sz val="12"/>
      <color rgb="FFFF6B00"/>
      <name val="Roboto"/>
    </font>
    <font>
      <b/>
      <sz val="12"/>
      <color rgb="FF00E0FF"/>
      <name val="Roboto"/>
    </font>
    <font>
      <b/>
      <sz val="11"/>
      <color rgb="FF000000"/>
      <name val="Roboto"/>
    </font>
    <font>
      <b/>
      <i/>
      <sz val="12"/>
      <color rgb="FFFF6B00"/>
      <name val="Roboto"/>
    </font>
    <font>
      <b/>
      <i/>
      <sz val="12"/>
      <color rgb="FF00E0FF"/>
      <name val="Roboto"/>
    </font>
    <font>
      <b/>
      <sz val="10"/>
      <color theme="0"/>
      <name val="Arial"/>
      <family val="2"/>
      <scheme val="minor"/>
    </font>
    <font>
      <b/>
      <sz val="12"/>
      <color rgb="FFFF6B00"/>
      <name val="Roboto Mono"/>
      <family val="3"/>
    </font>
    <font>
      <b/>
      <sz val="10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11418"/>
        <bgColor rgb="FF111418"/>
      </patternFill>
    </fill>
    <fill>
      <patternFill patternType="solid">
        <fgColor rgb="FF1E2329"/>
        <bgColor rgb="FF1E2329"/>
      </patternFill>
    </fill>
    <fill>
      <patternFill patternType="solid">
        <fgColor rgb="FF3C444E"/>
        <bgColor rgb="FF3C444E"/>
      </patternFill>
    </fill>
    <fill>
      <patternFill patternType="solid">
        <fgColor rgb="FF232930"/>
        <bgColor rgb="FF232930"/>
      </patternFill>
    </fill>
    <fill>
      <patternFill patternType="solid">
        <fgColor rgb="FF111418"/>
        <bgColor indexed="64"/>
      </patternFill>
    </fill>
    <fill>
      <patternFill patternType="solid">
        <fgColor rgb="FF1E2329"/>
        <bgColor indexed="64"/>
      </patternFill>
    </fill>
  </fills>
  <borders count="24">
    <border>
      <left/>
      <right/>
      <top/>
      <bottom/>
      <diagonal/>
    </border>
    <border>
      <left style="thick">
        <color rgb="FF3C444E"/>
      </left>
      <right/>
      <top style="thick">
        <color rgb="FF3C444E"/>
      </top>
      <bottom/>
      <diagonal/>
    </border>
    <border>
      <left/>
      <right style="medium">
        <color rgb="FF3C444E"/>
      </right>
      <top style="thick">
        <color rgb="FF3C444E"/>
      </top>
      <bottom/>
      <diagonal/>
    </border>
    <border>
      <left style="medium">
        <color rgb="FF3C444E"/>
      </left>
      <right/>
      <top style="thick">
        <color rgb="FF3C444E"/>
      </top>
      <bottom/>
      <diagonal/>
    </border>
    <border>
      <left/>
      <right style="thick">
        <color rgb="FF3C444E"/>
      </right>
      <top style="thick">
        <color rgb="FF3C444E"/>
      </top>
      <bottom/>
      <diagonal/>
    </border>
    <border>
      <left style="thick">
        <color rgb="FF3C444E"/>
      </left>
      <right/>
      <top/>
      <bottom/>
      <diagonal/>
    </border>
    <border>
      <left/>
      <right style="medium">
        <color rgb="FF3C444E"/>
      </right>
      <top/>
      <bottom/>
      <diagonal/>
    </border>
    <border>
      <left style="medium">
        <color rgb="FF3C444E"/>
      </left>
      <right/>
      <top/>
      <bottom/>
      <diagonal/>
    </border>
    <border>
      <left/>
      <right style="thick">
        <color rgb="FF3C444E"/>
      </right>
      <top/>
      <bottom/>
      <diagonal/>
    </border>
    <border>
      <left style="thick">
        <color rgb="FF3C444E"/>
      </left>
      <right/>
      <top/>
      <bottom style="thick">
        <color rgb="FF3C444E"/>
      </bottom>
      <diagonal/>
    </border>
    <border>
      <left/>
      <right/>
      <top/>
      <bottom style="thick">
        <color rgb="FF3C444E"/>
      </bottom>
      <diagonal/>
    </border>
    <border>
      <left/>
      <right style="thick">
        <color rgb="FF3C444E"/>
      </right>
      <top/>
      <bottom style="thick">
        <color rgb="FF3C444E"/>
      </bottom>
      <diagonal/>
    </border>
    <border>
      <left/>
      <right/>
      <top style="thick">
        <color rgb="FF3C444E"/>
      </top>
      <bottom/>
      <diagonal/>
    </border>
    <border>
      <left style="thick">
        <color rgb="FF3C444E"/>
      </left>
      <right/>
      <top style="medium">
        <color rgb="FF3C444E"/>
      </top>
      <bottom/>
      <diagonal/>
    </border>
    <border>
      <left/>
      <right/>
      <top style="medium">
        <color rgb="FF3C444E"/>
      </top>
      <bottom/>
      <diagonal/>
    </border>
    <border>
      <left/>
      <right style="medium">
        <color rgb="FF3C444E"/>
      </right>
      <top style="medium">
        <color rgb="FF3C444E"/>
      </top>
      <bottom/>
      <diagonal/>
    </border>
    <border>
      <left style="medium">
        <color rgb="FF3C444E"/>
      </left>
      <right/>
      <top style="medium">
        <color rgb="FF3C444E"/>
      </top>
      <bottom/>
      <diagonal/>
    </border>
    <border>
      <left/>
      <right style="thick">
        <color rgb="FF3C444E"/>
      </right>
      <top style="medium">
        <color rgb="FF3C444E"/>
      </top>
      <bottom/>
      <diagonal/>
    </border>
    <border>
      <left/>
      <right style="medium">
        <color rgb="FF3C444E"/>
      </right>
      <top/>
      <bottom style="thick">
        <color rgb="FF3C444E"/>
      </bottom>
      <diagonal/>
    </border>
    <border>
      <left style="medium">
        <color rgb="FF3C444E"/>
      </left>
      <right/>
      <top/>
      <bottom style="thick">
        <color rgb="FF3C444E"/>
      </bottom>
      <diagonal/>
    </border>
    <border>
      <left/>
      <right style="thick">
        <color rgb="FF3C444E"/>
      </right>
      <top style="thick">
        <color rgb="FF3C444E"/>
      </top>
      <bottom style="thick">
        <color rgb="FF3C444E"/>
      </bottom>
      <diagonal/>
    </border>
    <border>
      <left style="thick">
        <color rgb="FF3C444E"/>
      </left>
      <right/>
      <top style="thick">
        <color rgb="FF3C444E"/>
      </top>
      <bottom style="thick">
        <color rgb="FF3C444E"/>
      </bottom>
      <diagonal/>
    </border>
    <border>
      <left/>
      <right style="medium">
        <color rgb="FF3C444E"/>
      </right>
      <top style="medium">
        <color rgb="FF3C444E"/>
      </top>
      <bottom style="medium">
        <color rgb="FF3C444E"/>
      </bottom>
      <diagonal/>
    </border>
    <border>
      <left style="medium">
        <color rgb="FF3C444E"/>
      </left>
      <right/>
      <top style="medium">
        <color rgb="FF3C444E"/>
      </top>
      <bottom style="medium">
        <color rgb="FF3C444E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/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9" fillId="5" borderId="1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1" fillId="4" borderId="9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1" fillId="4" borderId="1" xfId="0" applyFont="1" applyFill="1" applyBorder="1"/>
    <xf numFmtId="0" fontId="1" fillId="4" borderId="12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0" xfId="0" applyFont="1" applyFill="1"/>
    <xf numFmtId="0" fontId="1" fillId="4" borderId="8" xfId="0" applyFont="1" applyFill="1" applyBorder="1"/>
    <xf numFmtId="10" fontId="1" fillId="0" borderId="0" xfId="0" applyNumberFormat="1" applyFont="1"/>
    <xf numFmtId="10" fontId="1" fillId="4" borderId="10" xfId="0" applyNumberFormat="1" applyFont="1" applyFill="1" applyBorder="1"/>
    <xf numFmtId="165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3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0" fontId="16" fillId="0" borderId="0" xfId="0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3" fontId="16" fillId="0" borderId="0" xfId="0" applyNumberFormat="1" applyFont="1" applyAlignment="1">
      <alignment horizontal="left" vertical="center"/>
    </xf>
    <xf numFmtId="0" fontId="14" fillId="6" borderId="20" xfId="0" applyFont="1" applyFill="1" applyBorder="1" applyAlignment="1">
      <alignment horizontal="center"/>
    </xf>
    <xf numFmtId="0" fontId="11" fillId="6" borderId="21" xfId="0" applyFont="1" applyFill="1" applyBorder="1" applyAlignment="1">
      <alignment horizontal="center"/>
    </xf>
    <xf numFmtId="10" fontId="11" fillId="6" borderId="5" xfId="0" applyNumberFormat="1" applyFont="1" applyFill="1" applyBorder="1" applyAlignment="1">
      <alignment horizontal="center"/>
    </xf>
    <xf numFmtId="10" fontId="13" fillId="0" borderId="7" xfId="0" applyNumberFormat="1" applyFont="1" applyBorder="1" applyAlignment="1">
      <alignment horizontal="center"/>
    </xf>
    <xf numFmtId="0" fontId="8" fillId="3" borderId="6" xfId="0" applyFont="1" applyFill="1" applyBorder="1"/>
    <xf numFmtId="0" fontId="8" fillId="3" borderId="7" xfId="0" applyFont="1" applyFill="1" applyBorder="1"/>
    <xf numFmtId="0" fontId="15" fillId="6" borderId="22" xfId="0" applyFont="1" applyFill="1" applyBorder="1" applyAlignment="1">
      <alignment horizontal="center"/>
    </xf>
    <xf numFmtId="0" fontId="12" fillId="6" borderId="23" xfId="0" applyFont="1" applyFill="1" applyBorder="1" applyAlignment="1">
      <alignment horizontal="center"/>
    </xf>
    <xf numFmtId="0" fontId="8" fillId="7" borderId="8" xfId="0" applyFont="1" applyFill="1" applyBorder="1"/>
    <xf numFmtId="0" fontId="8" fillId="7" borderId="6" xfId="0" applyFont="1" applyFill="1" applyBorder="1"/>
    <xf numFmtId="10" fontId="13" fillId="0" borderId="16" xfId="0" applyNumberFormat="1" applyFont="1" applyBorder="1" applyAlignment="1">
      <alignment horizontal="center"/>
    </xf>
    <xf numFmtId="0" fontId="8" fillId="7" borderId="15" xfId="0" applyFont="1" applyFill="1" applyBorder="1"/>
    <xf numFmtId="0" fontId="0" fillId="6" borderId="0" xfId="0" applyFill="1"/>
    <xf numFmtId="0" fontId="8" fillId="5" borderId="9" xfId="0" applyFont="1" applyFill="1" applyBorder="1" applyAlignment="1">
      <alignment horizontal="left"/>
    </xf>
    <xf numFmtId="0" fontId="4" fillId="0" borderId="10" xfId="0" applyFont="1" applyBorder="1"/>
    <xf numFmtId="0" fontId="8" fillId="5" borderId="10" xfId="0" applyFont="1" applyFill="1" applyBorder="1" applyAlignment="1">
      <alignment horizontal="left"/>
    </xf>
    <xf numFmtId="0" fontId="18" fillId="0" borderId="18" xfId="0" applyFont="1" applyBorder="1"/>
    <xf numFmtId="0" fontId="10" fillId="2" borderId="10" xfId="0" applyFont="1" applyFill="1" applyBorder="1" applyAlignment="1">
      <alignment horizontal="center" vertical="center"/>
    </xf>
    <xf numFmtId="0" fontId="4" fillId="0" borderId="0" xfId="0" applyFont="1"/>
    <xf numFmtId="164" fontId="8" fillId="3" borderId="0" xfId="0" applyNumberFormat="1" applyFont="1" applyFill="1" applyAlignment="1">
      <alignment horizontal="left"/>
    </xf>
    <xf numFmtId="0" fontId="18" fillId="0" borderId="6" xfId="0" applyFont="1" applyBorder="1"/>
    <xf numFmtId="0" fontId="8" fillId="3" borderId="7" xfId="0" applyFont="1" applyFill="1" applyBorder="1" applyAlignment="1">
      <alignment horizontal="left"/>
    </xf>
    <xf numFmtId="0" fontId="0" fillId="0" borderId="0" xfId="0"/>
    <xf numFmtId="0" fontId="4" fillId="0" borderId="8" xfId="0" applyFont="1" applyBorder="1"/>
    <xf numFmtId="0" fontId="8" fillId="3" borderId="5" xfId="0" applyFont="1" applyFill="1" applyBorder="1" applyAlignment="1">
      <alignment horizontal="left"/>
    </xf>
    <xf numFmtId="0" fontId="8" fillId="5" borderId="5" xfId="0" applyFont="1" applyFill="1" applyBorder="1" applyAlignment="1">
      <alignment horizontal="left"/>
    </xf>
    <xf numFmtId="3" fontId="8" fillId="5" borderId="0" xfId="0" applyNumberFormat="1" applyFont="1" applyFill="1" applyAlignment="1">
      <alignment horizontal="left"/>
    </xf>
    <xf numFmtId="0" fontId="8" fillId="5" borderId="7" xfId="0" applyFont="1" applyFill="1" applyBorder="1" applyAlignment="1">
      <alignment horizontal="left"/>
    </xf>
    <xf numFmtId="0" fontId="8" fillId="5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3" fontId="8" fillId="3" borderId="0" xfId="0" applyNumberFormat="1" applyFont="1" applyFill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2" xfId="0" applyFont="1" applyBorder="1"/>
    <xf numFmtId="0" fontId="7" fillId="3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8" fillId="5" borderId="13" xfId="0" applyFont="1" applyFill="1" applyBorder="1" applyAlignment="1">
      <alignment horizontal="left"/>
    </xf>
    <xf numFmtId="0" fontId="4" fillId="0" borderId="14" xfId="0" applyFont="1" applyBorder="1"/>
    <xf numFmtId="10" fontId="8" fillId="5" borderId="14" xfId="0" applyNumberFormat="1" applyFont="1" applyFill="1" applyBorder="1" applyAlignment="1">
      <alignment horizontal="left"/>
    </xf>
    <xf numFmtId="0" fontId="18" fillId="0" borderId="15" xfId="0" applyFont="1" applyBorder="1"/>
    <xf numFmtId="0" fontId="8" fillId="5" borderId="16" xfId="0" applyFont="1" applyFill="1" applyBorder="1" applyAlignment="1">
      <alignment horizontal="left"/>
    </xf>
    <xf numFmtId="164" fontId="8" fillId="5" borderId="14" xfId="0" applyNumberFormat="1" applyFont="1" applyFill="1" applyBorder="1" applyAlignment="1">
      <alignment horizontal="left"/>
    </xf>
    <xf numFmtId="0" fontId="4" fillId="0" borderId="17" xfId="0" applyFont="1" applyBorder="1"/>
    <xf numFmtId="0" fontId="5" fillId="3" borderId="7" xfId="0" applyFont="1" applyFill="1" applyBorder="1" applyAlignment="1">
      <alignment horizontal="center" vertical="center"/>
    </xf>
    <xf numFmtId="0" fontId="4" fillId="0" borderId="6" xfId="0" applyFont="1" applyBorder="1"/>
    <xf numFmtId="0" fontId="2" fillId="2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0" fontId="5" fillId="3" borderId="7" xfId="0" applyNumberFormat="1" applyFont="1" applyFill="1" applyBorder="1" applyAlignment="1">
      <alignment horizontal="center" vertical="center"/>
    </xf>
    <xf numFmtId="0" fontId="19" fillId="0" borderId="0" xfId="0" applyFont="1"/>
  </cellXfs>
  <cellStyles count="1">
    <cellStyle name="Normal" xfId="0" builtinId="0"/>
  </cellStyles>
  <dxfs count="155">
    <dxf>
      <font>
        <name val="Roboto"/>
        <scheme val="none"/>
      </font>
    </dxf>
    <dxf>
      <font>
        <name val="Roboto"/>
        <scheme val="none"/>
      </font>
    </dxf>
    <dxf>
      <font>
        <sz val="12"/>
      </font>
    </dxf>
    <dxf>
      <font>
        <sz val="12"/>
      </font>
    </dxf>
    <dxf>
      <font>
        <b/>
      </font>
    </dxf>
    <dxf>
      <font>
        <i/>
      </font>
    </dxf>
    <dxf>
      <font>
        <b/>
      </font>
    </dxf>
    <dxf>
      <alignment horizontal="center"/>
    </dxf>
    <dxf>
      <alignment horizontal="center"/>
    </dxf>
    <dxf>
      <fill>
        <patternFill patternType="solid">
          <bgColor rgb="FF111418"/>
        </patternFill>
      </fill>
    </dxf>
    <dxf>
      <fill>
        <patternFill patternType="solid">
          <bgColor rgb="FF111418"/>
        </patternFill>
      </fill>
    </dxf>
    <dxf>
      <numFmt numFmtId="14" formatCode="0.00%"/>
    </dxf>
    <dxf>
      <font>
        <color rgb="FF00E0FF"/>
      </font>
    </dxf>
    <dxf>
      <font>
        <color rgb="FF00E0FF"/>
      </font>
    </dxf>
    <dxf>
      <font>
        <b/>
        <family val="2"/>
      </font>
    </dxf>
    <dxf>
      <font>
        <color rgb="FFE6E6E6"/>
      </font>
    </dxf>
    <dxf>
      <fill>
        <patternFill patternType="solid">
          <bgColor rgb="FF111418"/>
        </patternFill>
      </fill>
    </dxf>
    <dxf>
      <font>
        <sz val="11"/>
      </font>
    </dxf>
    <dxf>
      <font>
        <name val="Roboto"/>
        <scheme val="none"/>
      </font>
    </dxf>
    <dxf>
      <font>
        <name val="Roboto"/>
        <scheme val="none"/>
      </font>
    </dxf>
    <dxf>
      <font>
        <sz val="11"/>
      </font>
    </dxf>
    <dxf>
      <font>
        <b/>
      </font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top style="medium">
          <color rgb="FF3C444E"/>
        </top>
        <vertical style="medium">
          <color rgb="FF3C444E"/>
        </vertical>
      </border>
    </dxf>
    <dxf>
      <border>
        <top style="medium">
          <color rgb="FF3C444E"/>
        </top>
        <vertical style="medium">
          <color rgb="FF3C444E"/>
        </vertical>
      </border>
    </dxf>
    <dxf>
      <border>
        <top style="medium">
          <color rgb="FF3C444E"/>
        </top>
        <vertical style="medium">
          <color rgb="FF3C444E"/>
        </vertical>
      </border>
    </dxf>
    <dxf>
      <border>
        <top style="medium">
          <color rgb="FF3C444E"/>
        </top>
        <vertical style="medium">
          <color rgb="FF3C444E"/>
        </vertical>
      </border>
    </dxf>
    <dxf>
      <border>
        <top style="medium">
          <color rgb="FF3C444E"/>
        </top>
        <vertical style="medium">
          <color rgb="FF3C444E"/>
        </vertical>
      </border>
    </dxf>
    <dxf>
      <border>
        <bottom style="medium">
          <color rgb="FF3C444E"/>
        </bottom>
      </border>
    </dxf>
    <dxf>
      <border>
        <bottom style="medium">
          <color rgb="FF3C444E"/>
        </bottom>
      </border>
    </dxf>
    <dxf>
      <fill>
        <patternFill>
          <bgColor rgb="FF1E2329"/>
        </patternFill>
      </fill>
    </dxf>
    <dxf>
      <font>
        <name val="Roboto"/>
        <scheme val="none"/>
      </font>
    </dxf>
    <dxf>
      <font>
        <name val="Roboto"/>
        <scheme val="none"/>
      </font>
    </dxf>
    <dxf>
      <font>
        <sz val="12"/>
      </font>
    </dxf>
    <dxf>
      <font>
        <sz val="12"/>
      </font>
    </dxf>
    <dxf>
      <font>
        <b/>
      </font>
    </dxf>
    <dxf>
      <font>
        <i/>
      </font>
    </dxf>
    <dxf>
      <font>
        <b/>
      </font>
    </dxf>
    <dxf>
      <alignment horizontal="center"/>
    </dxf>
    <dxf>
      <alignment horizontal="center"/>
    </dxf>
    <dxf>
      <fill>
        <patternFill patternType="solid">
          <bgColor rgb="FF111418"/>
        </patternFill>
      </fill>
    </dxf>
    <dxf>
      <fill>
        <patternFill patternType="solid">
          <bgColor rgb="FF111418"/>
        </patternFill>
      </fill>
    </dxf>
    <dxf>
      <font>
        <color rgb="FFFF6B00"/>
      </font>
    </dxf>
    <dxf>
      <font>
        <color rgb="FFFF6B00"/>
      </font>
    </dxf>
    <dxf>
      <font>
        <color rgb="FFE6E6E6"/>
      </font>
    </dxf>
    <dxf>
      <fill>
        <patternFill patternType="solid">
          <bgColor rgb="FF111418"/>
        </patternFill>
      </fill>
    </dxf>
    <dxf>
      <font>
        <b/>
      </font>
    </dxf>
    <dxf>
      <font>
        <name val="Roboto"/>
        <scheme val="none"/>
      </font>
    </dxf>
    <dxf>
      <font>
        <sz val="11"/>
      </font>
    </dxf>
    <dxf>
      <font>
        <sz val="11"/>
      </font>
    </dxf>
    <dxf>
      <font>
        <name val="Roboto"/>
        <scheme val="none"/>
      </font>
    </dxf>
    <dxf>
      <alignment horizontal="center"/>
    </dxf>
    <dxf>
      <font>
        <b/>
        <sz val="12"/>
        <color rgb="FFFF6B00"/>
      </font>
      <numFmt numFmtId="0" formatCode="General"/>
      <fill>
        <patternFill patternType="solid">
          <fgColor indexed="64"/>
          <bgColor rgb="FF111418"/>
        </patternFill>
      </fill>
    </dxf>
    <dxf>
      <numFmt numFmtId="0" formatCode="General"/>
    </dxf>
    <dxf>
      <numFmt numFmtId="14" formatCode="0.0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</border>
    </dxf>
    <dxf>
      <border>
        <left/>
        <right/>
        <top/>
      </border>
    </dxf>
    <dxf>
      <border>
        <top style="thick">
          <color rgb="FF3C444E"/>
        </top>
        <bottom style="thick">
          <color rgb="FF3C444E"/>
        </bottom>
      </border>
    </dxf>
    <dxf>
      <border>
        <top style="thick">
          <color rgb="FF3C444E"/>
        </top>
        <bottom style="thick">
          <color rgb="FF3C444E"/>
        </bottom>
      </border>
    </dxf>
    <dxf>
      <border>
        <vertical style="thick">
          <color rgb="FF3C444E"/>
        </vertical>
      </border>
    </dxf>
    <dxf>
      <border>
        <vertical style="thick">
          <color rgb="FF3C444E"/>
        </vertical>
      </border>
    </dxf>
    <dxf>
      <border>
        <vertical style="thick">
          <color rgb="FF3C444E"/>
        </vertical>
      </border>
    </dxf>
    <dxf>
      <border>
        <vertical style="thick">
          <color rgb="FF3C444E"/>
        </vertical>
      </border>
    </dxf>
    <dxf>
      <border>
        <vertical style="thick">
          <color rgb="FF3C444E"/>
        </vertical>
      </border>
    </dxf>
    <dxf>
      <fill>
        <patternFill>
          <bgColor rgb="FF1E2329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fill>
        <patternFill>
          <bgColor rgb="FF1E2329"/>
        </patternFill>
      </fill>
    </dxf>
    <dxf>
      <border>
        <vertical style="thick">
          <color rgb="FF3C444E"/>
        </vertical>
      </border>
    </dxf>
    <dxf>
      <border>
        <vertical style="thick">
          <color rgb="FF3C444E"/>
        </vertical>
      </border>
    </dxf>
    <dxf>
      <border>
        <vertical style="thick">
          <color rgb="FF3C444E"/>
        </vertical>
      </border>
    </dxf>
    <dxf>
      <border>
        <vertical style="thick">
          <color rgb="FF3C444E"/>
        </vertical>
      </border>
    </dxf>
    <dxf>
      <border>
        <vertical style="thick">
          <color rgb="FF3C444E"/>
        </vertical>
      </border>
    </dxf>
    <dxf>
      <border>
        <top style="thick">
          <color rgb="FF3C444E"/>
        </top>
        <bottom style="thick">
          <color rgb="FF3C444E"/>
        </bottom>
      </border>
    </dxf>
    <dxf>
      <border>
        <top style="thick">
          <color rgb="FF3C444E"/>
        </top>
        <bottom style="thick">
          <color rgb="FF3C444E"/>
        </bottom>
      </border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4" formatCode="0.00%"/>
    </dxf>
    <dxf>
      <numFmt numFmtId="0" formatCode="General"/>
    </dxf>
    <dxf>
      <font>
        <b/>
        <sz val="12"/>
        <color rgb="FFFF6B00"/>
      </font>
      <numFmt numFmtId="0" formatCode="General"/>
      <fill>
        <patternFill patternType="solid">
          <fgColor indexed="64"/>
          <bgColor rgb="FF111418"/>
        </patternFill>
      </fill>
    </dxf>
    <dxf>
      <alignment horizontal="center"/>
    </dxf>
    <dxf>
      <font>
        <name val="Roboto"/>
        <scheme val="none"/>
      </font>
    </dxf>
    <dxf>
      <font>
        <sz val="11"/>
      </font>
    </dxf>
    <dxf>
      <font>
        <sz val="11"/>
      </font>
    </dxf>
    <dxf>
      <font>
        <name val="Roboto"/>
        <scheme val="none"/>
      </font>
    </dxf>
    <dxf>
      <font>
        <b/>
      </font>
    </dxf>
    <dxf>
      <fill>
        <patternFill patternType="solid">
          <bgColor rgb="FF111418"/>
        </patternFill>
      </fill>
    </dxf>
    <dxf>
      <font>
        <color rgb="FFE6E6E6"/>
      </font>
    </dxf>
    <dxf>
      <font>
        <color rgb="FFFF6B00"/>
      </font>
    </dxf>
    <dxf>
      <font>
        <color rgb="FFFF6B00"/>
      </font>
    </dxf>
    <dxf>
      <fill>
        <patternFill patternType="solid">
          <bgColor rgb="FF111418"/>
        </patternFill>
      </fill>
    </dxf>
    <dxf>
      <fill>
        <patternFill patternType="solid">
          <bgColor rgb="FF111418"/>
        </patternFill>
      </fill>
    </dxf>
    <dxf>
      <alignment horizontal="center"/>
    </dxf>
    <dxf>
      <alignment horizontal="center"/>
    </dxf>
    <dxf>
      <font>
        <b/>
      </font>
    </dxf>
    <dxf>
      <font>
        <i/>
      </font>
    </dxf>
    <dxf>
      <font>
        <b/>
      </font>
    </dxf>
    <dxf>
      <font>
        <sz val="12"/>
      </font>
    </dxf>
    <dxf>
      <font>
        <sz val="12"/>
      </font>
    </dxf>
    <dxf>
      <font>
        <name val="Roboto"/>
        <scheme val="none"/>
      </font>
    </dxf>
    <dxf>
      <font>
        <name val="Roboto"/>
        <scheme val="none"/>
      </font>
    </dxf>
    <dxf>
      <fill>
        <patternFill>
          <bgColor rgb="FF1E2329"/>
        </patternFill>
      </fill>
    </dxf>
    <dxf>
      <border>
        <bottom style="medium">
          <color rgb="FF3C444E"/>
        </bottom>
      </border>
    </dxf>
    <dxf>
      <border>
        <bottom style="medium">
          <color rgb="FF3C444E"/>
        </bottom>
      </border>
    </dxf>
    <dxf>
      <border>
        <top style="medium">
          <color rgb="FF3C444E"/>
        </top>
        <vertical style="medium">
          <color rgb="FF3C444E"/>
        </vertical>
      </border>
    </dxf>
    <dxf>
      <border>
        <top style="medium">
          <color rgb="FF3C444E"/>
        </top>
        <vertical style="medium">
          <color rgb="FF3C444E"/>
        </vertical>
      </border>
    </dxf>
    <dxf>
      <border>
        <top style="medium">
          <color rgb="FF3C444E"/>
        </top>
        <vertical style="medium">
          <color rgb="FF3C444E"/>
        </vertical>
      </border>
    </dxf>
    <dxf>
      <border>
        <top style="medium">
          <color rgb="FF3C444E"/>
        </top>
        <vertical style="medium">
          <color rgb="FF3C444E"/>
        </vertical>
      </border>
    </dxf>
    <dxf>
      <border>
        <top style="medium">
          <color rgb="FF3C444E"/>
        </top>
        <vertical style="medium">
          <color rgb="FF3C444E"/>
        </vertical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b/>
      </font>
    </dxf>
    <dxf>
      <font>
        <sz val="11"/>
      </font>
    </dxf>
    <dxf>
      <font>
        <name val="Roboto"/>
        <scheme val="none"/>
      </font>
    </dxf>
    <dxf>
      <font>
        <name val="Roboto"/>
        <scheme val="none"/>
      </font>
    </dxf>
    <dxf>
      <font>
        <sz val="11"/>
      </font>
    </dxf>
    <dxf>
      <fill>
        <patternFill patternType="solid">
          <bgColor rgb="FF111418"/>
        </patternFill>
      </fill>
    </dxf>
    <dxf>
      <font>
        <color rgb="FFE6E6E6"/>
      </font>
    </dxf>
    <dxf>
      <font>
        <b/>
        <family val="2"/>
      </font>
    </dxf>
    <dxf>
      <font>
        <color rgb="FF00E0FF"/>
      </font>
    </dxf>
    <dxf>
      <font>
        <color rgb="FF00E0FF"/>
      </font>
    </dxf>
    <dxf>
      <numFmt numFmtId="14" formatCode="0.00%"/>
    </dxf>
    <dxf>
      <fill>
        <patternFill patternType="solid">
          <bgColor rgb="FF111418"/>
        </patternFill>
      </fill>
    </dxf>
    <dxf>
      <fill>
        <patternFill patternType="solid">
          <bgColor rgb="FF111418"/>
        </patternFill>
      </fill>
    </dxf>
    <dxf>
      <alignment horizontal="center"/>
    </dxf>
    <dxf>
      <alignment horizontal="center"/>
    </dxf>
    <dxf>
      <font>
        <b/>
      </font>
    </dxf>
    <dxf>
      <font>
        <i/>
      </font>
    </dxf>
    <dxf>
      <font>
        <b/>
      </font>
    </dxf>
    <dxf>
      <font>
        <sz val="12"/>
      </font>
    </dxf>
    <dxf>
      <font>
        <sz val="12"/>
      </font>
    </dxf>
    <dxf>
      <font>
        <name val="Roboto"/>
        <scheme val="none"/>
      </font>
    </dxf>
    <dxf>
      <font>
        <name val="Roboto"/>
        <scheme val="none"/>
      </font>
    </dxf>
    <dxf>
      <fill>
        <patternFill>
          <bgColor rgb="FFD94F4F"/>
        </patternFill>
      </fill>
    </dxf>
    <dxf>
      <fill>
        <patternFill>
          <bgColor rgb="FFE6E6E6"/>
        </patternFill>
      </fill>
    </dxf>
    <dxf>
      <fill>
        <patternFill>
          <bgColor rgb="FF63D471"/>
        </patternFill>
      </fill>
    </dxf>
    <dxf>
      <fill>
        <patternFill>
          <bgColor rgb="FF63D471"/>
        </patternFill>
      </fill>
    </dxf>
    <dxf>
      <fill>
        <patternFill>
          <bgColor rgb="FFD94F4F"/>
        </patternFill>
      </fill>
    </dxf>
    <dxf>
      <font>
        <color auto="1"/>
      </font>
      <fill>
        <patternFill>
          <bgColor rgb="FF00E0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Arc_Raiders_Stats-style" pivot="0" count="4" xr9:uid="{00000000-0011-0000-FFFF-FFFF00000000}">
      <tableStyleElement type="wholeTable" size="0" dxfId="154"/>
      <tableStyleElement type="headerRow" dxfId="153"/>
      <tableStyleElement type="firstRowStripe" dxfId="152"/>
      <tableStyleElement type="secondRowStripe" dxfId="151"/>
    </tableStyle>
  </tableStyles>
  <colors>
    <mruColors>
      <color rgb="FF111418"/>
      <color rgb="FF1E2329"/>
      <color rgb="FF3C444E"/>
      <color rgb="FFE6E6E6"/>
      <color rgb="FFD94F4F"/>
      <color rgb="FF63D471"/>
      <color rgb="FF00E0FF"/>
      <color rgb="FFFF6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FF6B00"/>
                </a:solidFill>
                <a:latin typeface="Roboto"/>
              </a:defRPr>
            </a:pPr>
            <a:r>
              <a:rPr lang="en-US" sz="1600" b="1">
                <a:solidFill>
                  <a:srgbClr val="FF6B00"/>
                </a:solidFill>
                <a:latin typeface="Roboto"/>
              </a:rPr>
              <a:t>LOOT GAIN %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Arc_Raiders_Stats!$X$200</c:f>
              <c:strCache>
                <c:ptCount val="1"/>
                <c:pt idx="0">
                  <c:v>Avg Loot %</c:v>
                </c:pt>
              </c:strCache>
            </c:strRef>
          </c:tx>
          <c:spPr>
            <a:ln cmpd="sng">
              <a:solidFill>
                <a:srgbClr val="FF6B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Arc_Raiders_Stats!$W$201:$W$1000</c:f>
              <c:numCache>
                <c:formatCode>mm"/"dd"/"yyyy</c:formatCode>
                <c:ptCount val="800"/>
                <c:pt idx="0">
                  <c:v>45969</c:v>
                </c:pt>
                <c:pt idx="1">
                  <c:v>45970</c:v>
                </c:pt>
                <c:pt idx="2">
                  <c:v>45971</c:v>
                </c:pt>
                <c:pt idx="3">
                  <c:v>45972</c:v>
                </c:pt>
                <c:pt idx="4">
                  <c:v>45973</c:v>
                </c:pt>
                <c:pt idx="5">
                  <c:v>45975</c:v>
                </c:pt>
                <c:pt idx="6">
                  <c:v>45976</c:v>
                </c:pt>
                <c:pt idx="7">
                  <c:v>45979</c:v>
                </c:pt>
              </c:numCache>
            </c:numRef>
          </c:cat>
          <c:val>
            <c:numRef>
              <c:f>Arc_Raiders_Stats!$X$201:$X$1000</c:f>
              <c:numCache>
                <c:formatCode>General</c:formatCode>
                <c:ptCount val="800"/>
                <c:pt idx="0">
                  <c:v>0.25445278422580048</c:v>
                </c:pt>
                <c:pt idx="1">
                  <c:v>0.53740585707829824</c:v>
                </c:pt>
                <c:pt idx="2">
                  <c:v>0.88711363296998658</c:v>
                </c:pt>
                <c:pt idx="3">
                  <c:v>8.0778451071896004E-2</c:v>
                </c:pt>
                <c:pt idx="4">
                  <c:v>0.53408041552077712</c:v>
                </c:pt>
                <c:pt idx="5">
                  <c:v>1.1880319254602596</c:v>
                </c:pt>
                <c:pt idx="6">
                  <c:v>0.25983574839525714</c:v>
                </c:pt>
                <c:pt idx="7">
                  <c:v>-3.7523116912060693E-2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A-4BFE-B5A3-573382659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718037"/>
        <c:axId val="997430659"/>
      </c:lineChart>
      <c:dateAx>
        <c:axId val="430718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mm&quot;/&quot;dd&quot;/&quot;yyyy" sourceLinked="1"/>
        <c:majorTickMark val="none"/>
        <c:minorTickMark val="none"/>
        <c:tickLblPos val="low"/>
        <c:spPr>
          <a:ln>
            <a:noFill/>
          </a:ln>
        </c:spPr>
        <c:txPr>
          <a:bodyPr rot="-3600000"/>
          <a:lstStyle/>
          <a:p>
            <a:pPr lvl="0">
              <a:defRPr b="0">
                <a:solidFill>
                  <a:srgbClr val="E6E6E6"/>
                </a:solidFill>
                <a:latin typeface="Roboto"/>
              </a:defRPr>
            </a:pPr>
            <a:endParaRPr lang="en-US"/>
          </a:p>
        </c:txPr>
        <c:crossAx val="997430659"/>
        <c:crosses val="autoZero"/>
        <c:auto val="1"/>
        <c:lblOffset val="100"/>
        <c:baseTimeUnit val="days"/>
        <c:majorUnit val="1"/>
        <c:majorTimeUnit val="days"/>
      </c:dateAx>
      <c:valAx>
        <c:axId val="997430659"/>
        <c:scaling>
          <c:orientation val="minMax"/>
          <c:max val="1.25"/>
          <c:min val="-0.25"/>
        </c:scaling>
        <c:delete val="0"/>
        <c:axPos val="l"/>
        <c:majorGridlines>
          <c:spPr>
            <a:ln>
              <a:solidFill>
                <a:schemeClr val="tx1">
                  <a:lumMod val="85000"/>
                  <a:lumOff val="1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E6E6E6"/>
                </a:solidFill>
                <a:latin typeface="Roboto"/>
              </a:defRPr>
            </a:pPr>
            <a:endParaRPr lang="en-US"/>
          </a:p>
        </c:txPr>
        <c:crossAx val="430718037"/>
        <c:crosses val="autoZero"/>
        <c:crossBetween val="midCat"/>
        <c:majorUnit val="0.25"/>
      </c:valAx>
      <c:spPr>
        <a:solidFill>
          <a:srgbClr val="111418"/>
        </a:solidFill>
      </c:spPr>
    </c:plotArea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FF6B00"/>
                </a:solidFill>
                <a:latin typeface="Roboto"/>
              </a:defRPr>
            </a:pPr>
            <a:r>
              <a:rPr lang="en-US" sz="1600" b="1">
                <a:solidFill>
                  <a:srgbClr val="FF6B00"/>
                </a:solidFill>
                <a:latin typeface="Roboto"/>
              </a:rPr>
              <a:t>EFFICIENCY PER MATCH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square"/>
            <c:size val="7"/>
            <c:spPr>
              <a:solidFill>
                <a:srgbClr val="FF6B00"/>
              </a:solidFill>
              <a:ln cmpd="sng">
                <a:solidFill>
                  <a:srgbClr val="FF6B00"/>
                </a:solidFill>
              </a:ln>
            </c:spPr>
          </c:marker>
          <c:xVal>
            <c:numRef>
              <c:f>Arc_Raiders_Stats!$B$2:$B$111</c:f>
              <c:numCache>
                <c:formatCode>mm":"ss</c:formatCode>
                <c:ptCount val="110"/>
                <c:pt idx="0">
                  <c:v>3.3217592592592591E-3</c:v>
                </c:pt>
                <c:pt idx="1">
                  <c:v>1.6435185185185185E-2</c:v>
                </c:pt>
                <c:pt idx="2">
                  <c:v>1.2939814814814815E-2</c:v>
                </c:pt>
                <c:pt idx="3">
                  <c:v>1.7476851851851851E-2</c:v>
                </c:pt>
                <c:pt idx="4">
                  <c:v>2.0613425925925927E-2</c:v>
                </c:pt>
                <c:pt idx="5">
                  <c:v>1.480324074074074E-2</c:v>
                </c:pt>
                <c:pt idx="6">
                  <c:v>1.7372685185185185E-2</c:v>
                </c:pt>
                <c:pt idx="7">
                  <c:v>6.2731481481481484E-3</c:v>
                </c:pt>
                <c:pt idx="8">
                  <c:v>1.8912037037037036E-2</c:v>
                </c:pt>
                <c:pt idx="9">
                  <c:v>1.3148148148148148E-2</c:v>
                </c:pt>
                <c:pt idx="10">
                  <c:v>6.8634259259259256E-3</c:v>
                </c:pt>
                <c:pt idx="11">
                  <c:v>1.8773148148148146E-2</c:v>
                </c:pt>
                <c:pt idx="12">
                  <c:v>1.2800925925925926E-2</c:v>
                </c:pt>
                <c:pt idx="13">
                  <c:v>4.6643518518518518E-3</c:v>
                </c:pt>
                <c:pt idx="14">
                  <c:v>6.9675925925925929E-3</c:v>
                </c:pt>
                <c:pt idx="15">
                  <c:v>2.011574074074074E-2</c:v>
                </c:pt>
                <c:pt idx="16">
                  <c:v>1.4363425925925925E-2</c:v>
                </c:pt>
                <c:pt idx="17">
                  <c:v>2.7893518518518519E-3</c:v>
                </c:pt>
                <c:pt idx="18">
                  <c:v>2.5925925925925925E-3</c:v>
                </c:pt>
                <c:pt idx="19">
                  <c:v>9.9768518518518513E-3</c:v>
                </c:pt>
                <c:pt idx="20">
                  <c:v>1.7777777777777778E-2</c:v>
                </c:pt>
                <c:pt idx="21">
                  <c:v>7.2106481481481483E-3</c:v>
                </c:pt>
                <c:pt idx="22">
                  <c:v>1.1597222222222222E-2</c:v>
                </c:pt>
                <c:pt idx="23">
                  <c:v>9.9305555555555553E-3</c:v>
                </c:pt>
                <c:pt idx="24">
                  <c:v>7.2800925925925923E-3</c:v>
                </c:pt>
                <c:pt idx="25">
                  <c:v>1.7164351851851851E-2</c:v>
                </c:pt>
                <c:pt idx="26">
                  <c:v>1.7766203703703704E-2</c:v>
                </c:pt>
                <c:pt idx="27">
                  <c:v>1.4108796296296296E-2</c:v>
                </c:pt>
                <c:pt idx="28">
                  <c:v>8.4837962962962966E-3</c:v>
                </c:pt>
                <c:pt idx="29">
                  <c:v>1.3622685185185186E-2</c:v>
                </c:pt>
                <c:pt idx="30">
                  <c:v>1.170138888888889E-2</c:v>
                </c:pt>
                <c:pt idx="31">
                  <c:v>1.8819444444444444E-2</c:v>
                </c:pt>
                <c:pt idx="32">
                  <c:v>8.1018518518518514E-3</c:v>
                </c:pt>
                <c:pt idx="33">
                  <c:v>5.208333333333333E-3</c:v>
                </c:pt>
                <c:pt idx="34">
                  <c:v>1.3252314814814814E-2</c:v>
                </c:pt>
                <c:pt idx="35">
                  <c:v>1.0844907407407407E-2</c:v>
                </c:pt>
                <c:pt idx="36">
                  <c:v>3.1944444444444446E-3</c:v>
                </c:pt>
                <c:pt idx="37">
                  <c:v>1.2488425925925925E-2</c:v>
                </c:pt>
                <c:pt idx="38">
                  <c:v>9.5370370370370366E-3</c:v>
                </c:pt>
                <c:pt idx="39">
                  <c:v>1.3877314814814815E-2</c:v>
                </c:pt>
                <c:pt idx="40">
                  <c:v>9.2013888888888892E-3</c:v>
                </c:pt>
                <c:pt idx="41">
                  <c:v>1.9594907407407408E-2</c:v>
                </c:pt>
                <c:pt idx="42">
                  <c:v>1.4537037037037038E-2</c:v>
                </c:pt>
                <c:pt idx="43">
                  <c:v>8.9120370370370378E-3</c:v>
                </c:pt>
                <c:pt idx="44">
                  <c:v>1.4305555555555556E-2</c:v>
                </c:pt>
                <c:pt idx="45">
                  <c:v>4.2361111111111115E-3</c:v>
                </c:pt>
                <c:pt idx="46">
                  <c:v>2.5810185185185185E-3</c:v>
                </c:pt>
                <c:pt idx="47">
                  <c:v>3.9351851851851848E-3</c:v>
                </c:pt>
                <c:pt idx="48">
                  <c:v>1.2453703703703703E-2</c:v>
                </c:pt>
                <c:pt idx="49">
                  <c:v>6.3194444444444444E-3</c:v>
                </c:pt>
                <c:pt idx="50">
                  <c:v>5.0462962962962961E-3</c:v>
                </c:pt>
                <c:pt idx="51">
                  <c:v>5.4976851851851853E-3</c:v>
                </c:pt>
                <c:pt idx="52">
                  <c:v>1.7719907407407406E-2</c:v>
                </c:pt>
                <c:pt idx="53">
                  <c:v>1.5173611111111112E-2</c:v>
                </c:pt>
                <c:pt idx="54">
                  <c:v>6.7129629629629631E-3</c:v>
                </c:pt>
              </c:numCache>
            </c:numRef>
          </c:xVal>
          <c:yVal>
            <c:numRef>
              <c:f>Arc_Raiders_Stats!$H$2:$H$111</c:f>
              <c:numCache>
                <c:formatCode>#,##0</c:formatCode>
                <c:ptCount val="110"/>
                <c:pt idx="0">
                  <c:v>9795</c:v>
                </c:pt>
                <c:pt idx="1">
                  <c:v>18948</c:v>
                </c:pt>
                <c:pt idx="2">
                  <c:v>13686</c:v>
                </c:pt>
                <c:pt idx="3">
                  <c:v>38219</c:v>
                </c:pt>
                <c:pt idx="4">
                  <c:v>-15860</c:v>
                </c:pt>
                <c:pt idx="5">
                  <c:v>30526</c:v>
                </c:pt>
                <c:pt idx="6">
                  <c:v>0</c:v>
                </c:pt>
                <c:pt idx="7">
                  <c:v>-24282</c:v>
                </c:pt>
                <c:pt idx="8">
                  <c:v>20320</c:v>
                </c:pt>
                <c:pt idx="9">
                  <c:v>15141</c:v>
                </c:pt>
                <c:pt idx="10">
                  <c:v>-30393</c:v>
                </c:pt>
                <c:pt idx="11">
                  <c:v>21571</c:v>
                </c:pt>
                <c:pt idx="12">
                  <c:v>-57670</c:v>
                </c:pt>
                <c:pt idx="13">
                  <c:v>0</c:v>
                </c:pt>
                <c:pt idx="14">
                  <c:v>0</c:v>
                </c:pt>
                <c:pt idx="15">
                  <c:v>41829</c:v>
                </c:pt>
                <c:pt idx="16">
                  <c:v>24099</c:v>
                </c:pt>
                <c:pt idx="17">
                  <c:v>-21891</c:v>
                </c:pt>
                <c:pt idx="18">
                  <c:v>0</c:v>
                </c:pt>
                <c:pt idx="19">
                  <c:v>19673</c:v>
                </c:pt>
                <c:pt idx="20">
                  <c:v>29574</c:v>
                </c:pt>
                <c:pt idx="21">
                  <c:v>0</c:v>
                </c:pt>
                <c:pt idx="22">
                  <c:v>12070</c:v>
                </c:pt>
                <c:pt idx="23">
                  <c:v>21374</c:v>
                </c:pt>
                <c:pt idx="24">
                  <c:v>10412</c:v>
                </c:pt>
                <c:pt idx="25">
                  <c:v>17823</c:v>
                </c:pt>
                <c:pt idx="26">
                  <c:v>16983</c:v>
                </c:pt>
                <c:pt idx="27">
                  <c:v>17448</c:v>
                </c:pt>
                <c:pt idx="28">
                  <c:v>-27710</c:v>
                </c:pt>
                <c:pt idx="29">
                  <c:v>9187</c:v>
                </c:pt>
                <c:pt idx="30">
                  <c:v>-24675</c:v>
                </c:pt>
                <c:pt idx="31">
                  <c:v>35256</c:v>
                </c:pt>
                <c:pt idx="32">
                  <c:v>27100</c:v>
                </c:pt>
                <c:pt idx="33">
                  <c:v>-8155</c:v>
                </c:pt>
                <c:pt idx="34">
                  <c:v>12045</c:v>
                </c:pt>
                <c:pt idx="35">
                  <c:v>26653</c:v>
                </c:pt>
                <c:pt idx="36">
                  <c:v>-11286</c:v>
                </c:pt>
                <c:pt idx="37">
                  <c:v>21406</c:v>
                </c:pt>
                <c:pt idx="38">
                  <c:v>20216</c:v>
                </c:pt>
                <c:pt idx="39">
                  <c:v>45455</c:v>
                </c:pt>
                <c:pt idx="40">
                  <c:v>29072</c:v>
                </c:pt>
                <c:pt idx="41">
                  <c:v>12597</c:v>
                </c:pt>
                <c:pt idx="42">
                  <c:v>19900</c:v>
                </c:pt>
                <c:pt idx="43">
                  <c:v>-1218</c:v>
                </c:pt>
                <c:pt idx="44">
                  <c:v>-7799</c:v>
                </c:pt>
                <c:pt idx="45">
                  <c:v>-51234</c:v>
                </c:pt>
                <c:pt idx="46">
                  <c:v>0</c:v>
                </c:pt>
                <c:pt idx="47">
                  <c:v>0</c:v>
                </c:pt>
                <c:pt idx="48">
                  <c:v>24195</c:v>
                </c:pt>
                <c:pt idx="49">
                  <c:v>9747</c:v>
                </c:pt>
                <c:pt idx="50">
                  <c:v>-7140</c:v>
                </c:pt>
                <c:pt idx="51">
                  <c:v>0</c:v>
                </c:pt>
                <c:pt idx="52">
                  <c:v>26644</c:v>
                </c:pt>
                <c:pt idx="53">
                  <c:v>-30988</c:v>
                </c:pt>
                <c:pt idx="54">
                  <c:v>-40298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AE-42C8-9A78-A1B2A8A86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906436"/>
        <c:axId val="2113706564"/>
      </c:scatterChart>
      <c:valAx>
        <c:axId val="1871906436"/>
        <c:scaling>
          <c:orientation val="minMax"/>
          <c:max val="2.0833333000000002E-2"/>
          <c:min val="0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E6E6E6"/>
                    </a:solidFill>
                    <a:latin typeface="Roboto"/>
                  </a:defRPr>
                </a:pPr>
                <a:r>
                  <a:rPr lang="en-US" b="1">
                    <a:solidFill>
                      <a:srgbClr val="E6E6E6"/>
                    </a:solidFill>
                    <a:latin typeface="Roboto"/>
                  </a:rPr>
                  <a:t>Match Length (mins)</a:t>
                </a:r>
              </a:p>
            </c:rich>
          </c:tx>
          <c:overlay val="0"/>
        </c:title>
        <c:numFmt formatCode="mm&quot;:&quot;ss" sourceLinked="0"/>
        <c:majorTickMark val="none"/>
        <c:minorTickMark val="none"/>
        <c:tickLblPos val="low"/>
        <c:spPr>
          <a:noFill/>
          <a:ln>
            <a:noFill/>
          </a:ln>
        </c:spPr>
        <c:txPr>
          <a:bodyPr rot="0" anchor="ctr" anchorCtr="1"/>
          <a:lstStyle/>
          <a:p>
            <a:pPr lvl="0">
              <a:defRPr b="0">
                <a:solidFill>
                  <a:srgbClr val="E6E6E6"/>
                </a:solidFill>
                <a:latin typeface="Roboto"/>
              </a:defRPr>
            </a:pPr>
            <a:endParaRPr lang="en-US"/>
          </a:p>
        </c:txPr>
        <c:crossAx val="2113706564"/>
        <c:crosses val="autoZero"/>
        <c:crossBetween val="midCat"/>
        <c:majorUnit val="3.4722220000000009E-3"/>
      </c:valAx>
      <c:valAx>
        <c:axId val="2113706564"/>
        <c:scaling>
          <c:orientation val="minMax"/>
          <c:max val="50000"/>
        </c:scaling>
        <c:delete val="0"/>
        <c:axPos val="l"/>
        <c:majorGridlines>
          <c:spPr>
            <a:ln>
              <a:solidFill>
                <a:schemeClr val="tx1">
                  <a:lumMod val="85000"/>
                  <a:lumOff val="1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E6E6E6"/>
                    </a:solidFill>
                    <a:latin typeface="Roboto"/>
                  </a:defRPr>
                </a:pPr>
                <a:r>
                  <a:rPr lang="en-US" b="1">
                    <a:solidFill>
                      <a:srgbClr val="E6E6E6"/>
                    </a:solidFill>
                    <a:latin typeface="Roboto"/>
                  </a:rPr>
                  <a:t>Loot Value</a:t>
                </a:r>
              </a:p>
            </c:rich>
          </c:tx>
          <c:overlay val="0"/>
          <c:spPr>
            <a:ln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E6E6E6"/>
                </a:solidFill>
                <a:latin typeface="Roboto"/>
              </a:defRPr>
            </a:pPr>
            <a:endParaRPr lang="en-US"/>
          </a:p>
        </c:txPr>
        <c:crossAx val="1871906436"/>
        <c:crosses val="autoZero"/>
        <c:crossBetween val="midCat"/>
        <c:majorUnit val="25000"/>
      </c:valAx>
      <c:spPr>
        <a:solidFill>
          <a:srgbClr val="111418"/>
        </a:solidFill>
        <a:ln>
          <a:noFill/>
        </a:ln>
      </c:spPr>
    </c:plotArea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1390650</xdr:colOff>
      <xdr:row>17</xdr:row>
      <xdr:rowOff>180975</xdr:rowOff>
    </xdr:from>
    <xdr:ext cx="56007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1238250</xdr:colOff>
      <xdr:row>18</xdr:row>
      <xdr:rowOff>0</xdr:rowOff>
    </xdr:from>
    <xdr:ext cx="54864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harles Bettis" refreshedDate="46174.615394791668" refreshedVersion="8" recordCount="1013" xr:uid="{00000000-000A-0000-FFFF-FFFF00000000}">
  <cacheSource type="worksheet">
    <worksheetSource ref="A1:M1014" sheet="Arc_Raiders_Stats"/>
  </cacheSource>
  <cacheFields count="13">
    <cacheField name="Date" numFmtId="0">
      <sharedItems containsNonDate="0" containsDate="1" containsString="0" containsBlank="1" minDate="2025-11-08T00:00:00" maxDate="2025-11-19T00:00:00"/>
    </cacheField>
    <cacheField name="Match Duration (mins)" numFmtId="0">
      <sharedItems containsNonDate="0" containsDate="1" containsString="0" containsBlank="1" minDate="1899-12-30T00:03:43" maxDate="1899-12-30T00:29:41"/>
    </cacheField>
    <cacheField name="Map" numFmtId="0">
      <sharedItems containsBlank="1" count="6">
        <s v="Buried City"/>
        <s v="Dam Battlegrounds"/>
        <s v="Spaceport"/>
        <s v="The Blue Gate"/>
        <s v="Stella Montis"/>
        <m/>
      </sharedItems>
    </cacheField>
    <cacheField name="Map Event" numFmtId="0">
      <sharedItems containsBlank="1"/>
    </cacheField>
    <cacheField name="Event Loot (Y/N)" numFmtId="0">
      <sharedItems containsBlank="1"/>
    </cacheField>
    <cacheField name="Loadout Type" numFmtId="0">
      <sharedItems containsBlank="1"/>
    </cacheField>
    <cacheField name="Starting Loot Value" numFmtId="3">
      <sharedItems containsString="0" containsBlank="1" containsNumber="1" containsInteger="1" minValue="0" maxValue="58774"/>
    </cacheField>
    <cacheField name="Loot Gained" numFmtId="3">
      <sharedItems containsString="0" containsBlank="1" containsNumber="1" containsInteger="1" minValue="-57670" maxValue="45455"/>
    </cacheField>
    <cacheField name="Total Value" numFmtId="3">
      <sharedItems containsString="0" containsBlank="1" containsNumber="1" containsInteger="1" minValue="-808" maxValue="79545"/>
    </cacheField>
    <cacheField name="Loot Gained %" numFmtId="0">
      <sharedItems containsString="0" containsBlank="1" containsNumber="1" minValue="-1.0375068946497519" maxValue="2.4593673965936738"/>
    </cacheField>
    <cacheField name="Solo/Duo/Trio" numFmtId="0">
      <sharedItems containsBlank="1"/>
    </cacheField>
    <cacheField name="Survived (Y/N)" numFmtId="0">
      <sharedItems containsBlank="1"/>
    </cacheField>
    <cacheField name="Survived Num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harles Bettis" refreshedDate="46174.615394907407" refreshedVersion="8" recordCount="55" xr:uid="{00000000-000A-0000-FFFF-FFFF01000000}">
  <cacheSource type="worksheet">
    <worksheetSource ref="A1:M56" sheet="Arc_Raiders_Stats"/>
  </cacheSource>
  <cacheFields count="13">
    <cacheField name="Date" numFmtId="165">
      <sharedItems containsSemiMixedTypes="0" containsNonDate="0" containsDate="1" containsString="0" minDate="2025-11-08T00:00:00" maxDate="2025-11-19T00:00:00"/>
    </cacheField>
    <cacheField name="Match Duration (mins)" numFmtId="164">
      <sharedItems containsSemiMixedTypes="0" containsNonDate="0" containsDate="1" containsString="0" minDate="1899-12-30T00:03:43" maxDate="1899-12-30T00:29:41"/>
    </cacheField>
    <cacheField name="Map" numFmtId="0">
      <sharedItems/>
    </cacheField>
    <cacheField name="Map Event" numFmtId="0">
      <sharedItems/>
    </cacheField>
    <cacheField name="Event Loot (Y/N)" numFmtId="0">
      <sharedItems containsBlank="1"/>
    </cacheField>
    <cacheField name="Loadout Type" numFmtId="0">
      <sharedItems count="3">
        <s v="Free Gear"/>
        <s v="Low Gear"/>
        <s v="High Gear"/>
      </sharedItems>
    </cacheField>
    <cacheField name="Starting Loot Value" numFmtId="3">
      <sharedItems containsSemiMixedTypes="0" containsString="0" containsNumber="1" containsInteger="1" minValue="0" maxValue="58774"/>
    </cacheField>
    <cacheField name="Loot Gained" numFmtId="3">
      <sharedItems containsSemiMixedTypes="0" containsString="0" containsNumber="1" containsInteger="1" minValue="-57670" maxValue="45455"/>
    </cacheField>
    <cacheField name="Total Value" numFmtId="3">
      <sharedItems containsSemiMixedTypes="0" containsString="0" containsNumber="1" containsInteger="1" minValue="-808" maxValue="79545"/>
    </cacheField>
    <cacheField name="Loot Gained %" numFmtId="10">
      <sharedItems containsSemiMixedTypes="0" containsString="0" containsNumber="1" minValue="-1.0375068946497519" maxValue="2.4593673965936738"/>
    </cacheField>
    <cacheField name="Solo/Duo/Trio" numFmtId="0">
      <sharedItems/>
    </cacheField>
    <cacheField name="Survived (Y/N)" numFmtId="0">
      <sharedItems/>
    </cacheField>
    <cacheField name="Survived Num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3">
  <r>
    <d v="2025-11-08T00:00:00"/>
    <d v="1899-12-30T00:04:47"/>
    <x v="0"/>
    <s v="None"/>
    <s v="N"/>
    <s v="Free Gear"/>
    <n v="0"/>
    <n v="9795"/>
    <n v="9795"/>
    <n v="1"/>
    <s v="Duo"/>
    <s v="Y"/>
    <n v="1"/>
  </r>
  <r>
    <d v="2025-11-08T00:00:00"/>
    <d v="1899-12-30T00:23:40"/>
    <x v="0"/>
    <s v="None"/>
    <s v="N"/>
    <s v="Low Gear"/>
    <n v="13020"/>
    <n v="18948"/>
    <n v="31968"/>
    <n v="1.4552995391705068"/>
    <s v="Solo"/>
    <s v="Y"/>
    <n v="1"/>
  </r>
  <r>
    <d v="2025-11-08T00:00:00"/>
    <d v="1899-12-30T00:18:38"/>
    <x v="0"/>
    <s v="None"/>
    <s v="N"/>
    <s v="Low Gear"/>
    <n v="19985"/>
    <n v="13686"/>
    <n v="33671"/>
    <n v="0.68481361020765574"/>
    <s v="Duo"/>
    <s v="Y"/>
    <n v="1"/>
  </r>
  <r>
    <d v="2025-11-08T00:00:00"/>
    <d v="1899-12-30T00:25:10"/>
    <x v="1"/>
    <s v="None"/>
    <s v="N"/>
    <s v="Free Gear"/>
    <n v="0"/>
    <n v="38219"/>
    <n v="38219"/>
    <n v="1"/>
    <s v="Solo"/>
    <s v="Y"/>
    <n v="1"/>
  </r>
  <r>
    <d v="2025-11-08T00:00:00"/>
    <d v="1899-12-30T00:29:41"/>
    <x v="1"/>
    <s v="Lush Blooms"/>
    <s v="N"/>
    <s v="Low Gear"/>
    <n v="20320"/>
    <n v="-15860"/>
    <n v="4460"/>
    <n v="-0.78051181102362199"/>
    <s v="Duo"/>
    <s v="N"/>
    <n v="0"/>
  </r>
  <r>
    <d v="2025-11-08T00:00:00"/>
    <d v="1899-12-30T00:21:19"/>
    <x v="1"/>
    <s v="None"/>
    <s v="N"/>
    <s v="Low Gear"/>
    <n v="24413"/>
    <n v="30526"/>
    <n v="54939"/>
    <n v="1.2503993773809037"/>
    <s v="Duo"/>
    <s v="Y"/>
    <n v="1"/>
  </r>
  <r>
    <d v="2025-11-08T00:00:00"/>
    <d v="1899-12-30T00:25:01"/>
    <x v="2"/>
    <s v="Launch Tower Loot"/>
    <s v="N"/>
    <s v="Free Gear"/>
    <n v="0"/>
    <n v="0"/>
    <n v="0"/>
    <n v="0"/>
    <s v="Duo"/>
    <s v="N"/>
    <n v="0"/>
  </r>
  <r>
    <d v="2025-11-08T00:00:00"/>
    <d v="1899-12-30T00:09:02"/>
    <x v="2"/>
    <s v="Launch Tower Loot"/>
    <s v="N"/>
    <s v="Low Gear"/>
    <n v="25354"/>
    <n v="-24282"/>
    <n v="1072"/>
    <n v="-0.95771870316320895"/>
    <s v="Duo"/>
    <s v="N"/>
    <n v="0"/>
  </r>
  <r>
    <d v="2025-11-08T00:00:00"/>
    <d v="1899-12-30T00:27:14"/>
    <x v="2"/>
    <s v="None"/>
    <s v="N"/>
    <s v="High Gear"/>
    <n v="34903"/>
    <n v="20320"/>
    <n v="55223"/>
    <n v="0.58218491247170734"/>
    <s v="Duo"/>
    <s v="Y"/>
    <n v="1"/>
  </r>
  <r>
    <d v="2025-11-08T00:00:00"/>
    <d v="1899-12-30T00:18:56"/>
    <x v="3"/>
    <s v="Lush Blooms"/>
    <s v="N"/>
    <s v="Low Gear"/>
    <n v="15840"/>
    <n v="15141"/>
    <n v="30981"/>
    <n v="0.95587121212121207"/>
    <s v="Solo"/>
    <s v="Y"/>
    <n v="1"/>
  </r>
  <r>
    <d v="2025-11-08T00:00:00"/>
    <d v="1899-12-30T00:09:53"/>
    <x v="2"/>
    <s v="Launch Tower Loot"/>
    <s v="N"/>
    <s v="Low Gear"/>
    <n v="29585"/>
    <n v="-30393"/>
    <n v="-808"/>
    <n v="-1.0273111374007098"/>
    <s v="Trio"/>
    <s v="N"/>
    <n v="0"/>
  </r>
  <r>
    <d v="2025-11-08T00:00:00"/>
    <d v="1899-12-30T00:27:02"/>
    <x v="2"/>
    <s v="Launch Tower Loot"/>
    <s v="Y"/>
    <s v="High Gear"/>
    <n v="56687"/>
    <n v="21571"/>
    <n v="78258"/>
    <n v="0.38052816342371265"/>
    <s v="Trio"/>
    <s v="Y"/>
    <n v="1"/>
  </r>
  <r>
    <d v="2025-11-08T00:00:00"/>
    <d v="1899-12-30T00:18:26"/>
    <x v="2"/>
    <s v="Hidden Bunker"/>
    <s v="N"/>
    <s v="High Gear"/>
    <n v="58774"/>
    <n v="-57670"/>
    <n v="1104"/>
    <n v="-0.98121618402695066"/>
    <s v="Trio"/>
    <s v="N"/>
    <n v="0"/>
  </r>
  <r>
    <d v="2025-11-08T00:00:00"/>
    <d v="1899-12-30T00:06:43"/>
    <x v="1"/>
    <s v="Lush Blooms"/>
    <s v="N"/>
    <s v="Free Gear"/>
    <n v="0"/>
    <n v="0"/>
    <n v="0"/>
    <n v="0"/>
    <s v="Trio"/>
    <s v="N"/>
    <n v="0"/>
  </r>
  <r>
    <d v="2025-11-09T00:00:00"/>
    <d v="1899-12-30T00:10:02"/>
    <x v="1"/>
    <s v="Electromagnetic Storm"/>
    <s v="N"/>
    <s v="Free Gear"/>
    <n v="0"/>
    <n v="0"/>
    <n v="0"/>
    <n v="0"/>
    <s v="Trio"/>
    <s v="N"/>
    <n v="0"/>
  </r>
  <r>
    <d v="2025-11-09T00:00:00"/>
    <d v="1899-12-30T00:28:58"/>
    <x v="1"/>
    <s v="Electromagnetic Storm"/>
    <s v="Y"/>
    <s v="Free Gear"/>
    <n v="0"/>
    <n v="41829"/>
    <n v="41829"/>
    <n v="1"/>
    <s v="Trio"/>
    <s v="Y"/>
    <n v="1"/>
  </r>
  <r>
    <d v="2025-11-09T00:00:00"/>
    <d v="1899-12-30T00:20:41"/>
    <x v="3"/>
    <s v="Electromagnetic Storm"/>
    <s v="Y"/>
    <s v="Low Gear"/>
    <n v="23037"/>
    <n v="24099"/>
    <n v="47136"/>
    <n v="1.0460997525719495"/>
    <s v="Solo"/>
    <s v="Y"/>
    <n v="1"/>
  </r>
  <r>
    <d v="2025-11-09T00:00:00"/>
    <d v="1899-12-30T00:04:01"/>
    <x v="0"/>
    <s v="None"/>
    <s v="N"/>
    <s v="Low Gear"/>
    <n v="21163"/>
    <n v="-21891"/>
    <n v="-728"/>
    <n v="-1.0343996597835845"/>
    <s v="Solo"/>
    <s v="N"/>
    <n v="0"/>
  </r>
  <r>
    <d v="2025-11-09T00:00:00"/>
    <d v="1899-12-30T00:03:44"/>
    <x v="0"/>
    <s v="None"/>
    <s v="N"/>
    <s v="Free Gear"/>
    <n v="0"/>
    <n v="0"/>
    <n v="0"/>
    <n v="0"/>
    <s v="Solo"/>
    <s v="N"/>
    <n v="0"/>
  </r>
  <r>
    <d v="2025-11-09T00:00:00"/>
    <d v="1899-12-30T00:14:22"/>
    <x v="0"/>
    <s v="None"/>
    <s v="N"/>
    <s v="Free Gear"/>
    <n v="0"/>
    <n v="19673"/>
    <n v="19673"/>
    <n v="1"/>
    <s v="Solo"/>
    <s v="Y"/>
    <n v="1"/>
  </r>
  <r>
    <d v="2025-11-09T00:00:00"/>
    <d v="1899-12-30T00:25:36"/>
    <x v="2"/>
    <s v="None"/>
    <s v="N"/>
    <s v="Low Gear"/>
    <n v="20300"/>
    <n v="29574"/>
    <n v="49874"/>
    <n v="1.4568472906403942"/>
    <s v="Solo"/>
    <s v="Y"/>
    <n v="1"/>
  </r>
  <r>
    <d v="2025-11-09T00:00:00"/>
    <d v="1899-12-30T00:10:23"/>
    <x v="1"/>
    <s v="Electromagnetic Storm"/>
    <s v="Y"/>
    <s v="Free Gear"/>
    <n v="0"/>
    <n v="0"/>
    <n v="0"/>
    <n v="0"/>
    <s v="Duo"/>
    <s v="N"/>
    <n v="0"/>
  </r>
  <r>
    <d v="2025-11-09T00:00:00"/>
    <d v="1899-12-30T00:16:42"/>
    <x v="2"/>
    <s v="Lush Blooms"/>
    <s v="N"/>
    <s v="Free Gear"/>
    <n v="0"/>
    <n v="12070"/>
    <n v="12070"/>
    <n v="1"/>
    <s v="Trio"/>
    <s v="Y"/>
    <n v="1"/>
  </r>
  <r>
    <d v="2025-11-09T00:00:00"/>
    <d v="1899-12-30T00:14:18"/>
    <x v="1"/>
    <s v="None"/>
    <s v="N"/>
    <s v="Low Gear"/>
    <n v="23029"/>
    <n v="21374"/>
    <n v="44403"/>
    <n v="0.92813409179729911"/>
    <s v="Trio"/>
    <s v="Y"/>
    <n v="1"/>
  </r>
  <r>
    <d v="2025-11-09T00:00:00"/>
    <d v="1899-12-30T00:10:29"/>
    <x v="2"/>
    <s v="Husk Graveyard"/>
    <s v="N"/>
    <s v="Low Gear"/>
    <n v="20226"/>
    <n v="10412"/>
    <n v="30638"/>
    <n v="0.514782952635222"/>
    <s v="Trio"/>
    <s v="Y"/>
    <n v="1"/>
  </r>
  <r>
    <d v="2025-11-10T00:00:00"/>
    <d v="1899-12-30T00:24:43"/>
    <x v="1"/>
    <s v="Electromagnetic Storm"/>
    <s v="Y"/>
    <s v="Low Gear"/>
    <n v="20091"/>
    <n v="17823"/>
    <n v="37914"/>
    <n v="0.88711363296998658"/>
    <s v="Solo"/>
    <s v="Y"/>
    <n v="1"/>
  </r>
  <r>
    <d v="2025-11-11T00:00:00"/>
    <d v="1899-12-30T00:25:35"/>
    <x v="3"/>
    <s v="Lush Blooms"/>
    <s v="N"/>
    <s v="Low Gear"/>
    <n v="25929"/>
    <n v="16983"/>
    <n v="42912"/>
    <n v="0.65498090940645615"/>
    <s v="Solo"/>
    <s v="Y"/>
    <n v="1"/>
  </r>
  <r>
    <d v="2025-11-11T00:00:00"/>
    <d v="1899-12-30T00:20:19"/>
    <x v="1"/>
    <s v="None"/>
    <s v="N"/>
    <s v="Low Gear"/>
    <n v="28919"/>
    <n v="17448"/>
    <n v="46367"/>
    <n v="0.60334036446626782"/>
    <s v="Duo"/>
    <s v="Y"/>
    <n v="1"/>
  </r>
  <r>
    <d v="2025-11-11T00:00:00"/>
    <d v="1899-12-30T00:12:13"/>
    <x v="0"/>
    <s v="None"/>
    <s v="N"/>
    <s v="Low Gear"/>
    <n v="27274"/>
    <n v="-27710"/>
    <n v="-436"/>
    <n v="-1.0159859206570361"/>
    <s v="Duo"/>
    <s v="N"/>
    <n v="0"/>
  </r>
  <r>
    <d v="2025-11-12T00:00:00"/>
    <d v="1899-12-30T00:19:37"/>
    <x v="1"/>
    <s v="None"/>
    <s v="N"/>
    <s v="High Gear"/>
    <n v="31660"/>
    <n v="9187"/>
    <n v="40847"/>
    <n v="0.29017687934301956"/>
    <s v="Duo"/>
    <s v="Y"/>
    <n v="1"/>
  </r>
  <r>
    <d v="2025-11-12T00:00:00"/>
    <d v="1899-12-30T00:16:51"/>
    <x v="0"/>
    <s v="None"/>
    <s v="N"/>
    <s v="Low Gear"/>
    <n v="24675"/>
    <n v="-24675"/>
    <n v="0"/>
    <n v="-1"/>
    <s v="Duo"/>
    <s v="N"/>
    <n v="0"/>
  </r>
  <r>
    <d v="2025-11-12T00:00:00"/>
    <d v="1899-12-30T00:27:06"/>
    <x v="0"/>
    <s v="None"/>
    <s v="N"/>
    <s v="Low Gear"/>
    <n v="18107"/>
    <n v="35256"/>
    <n v="53363"/>
    <n v="1.9470922847517536"/>
    <s v="Duo"/>
    <s v="Y"/>
    <n v="1"/>
  </r>
  <r>
    <d v="2025-11-12T00:00:00"/>
    <d v="1899-12-30T00:11:40"/>
    <x v="0"/>
    <s v="None"/>
    <s v="N"/>
    <s v="Low Gear"/>
    <n v="19157"/>
    <n v="27100"/>
    <n v="46257"/>
    <n v="1.4146265072819335"/>
    <s v="Duo"/>
    <s v="Y"/>
    <n v="1"/>
  </r>
  <r>
    <d v="2025-11-12T00:00:00"/>
    <d v="1899-12-30T00:07:30"/>
    <x v="3"/>
    <s v="None"/>
    <s v="N"/>
    <s v="Low Gear"/>
    <n v="18227"/>
    <n v="-8155"/>
    <n v="10072"/>
    <n v="-0.44741317825204369"/>
    <s v="Trio"/>
    <s v="Y"/>
    <n v="1"/>
  </r>
  <r>
    <d v="2025-11-12T00:00:00"/>
    <d v="1899-12-30T00:19:05"/>
    <x v="1"/>
    <s v="None"/>
    <s v="N"/>
    <s v="Free Gear"/>
    <n v="0"/>
    <n v="12045"/>
    <n v="12045"/>
    <n v="1"/>
    <s v="Trio"/>
    <s v="Y"/>
    <n v="1"/>
  </r>
  <r>
    <d v="2025-11-14T00:00:00"/>
    <d v="1899-12-30T00:15:37"/>
    <x v="1"/>
    <s v="None"/>
    <s v="N"/>
    <s v="Low Gear"/>
    <n v="10878"/>
    <n v="26653"/>
    <n v="37531"/>
    <n v="2.4501746644603788"/>
    <s v="Trio"/>
    <s v="Y"/>
    <n v="1"/>
  </r>
  <r>
    <d v="2025-11-14T00:00:00"/>
    <d v="1899-12-30T00:04:36"/>
    <x v="0"/>
    <s v="None"/>
    <s v="N"/>
    <s v="Low Gear"/>
    <n v="10878"/>
    <n v="-11286"/>
    <n v="-408"/>
    <n v="-1.0375068946497519"/>
    <s v="Trio"/>
    <s v="N"/>
    <n v="0"/>
  </r>
  <r>
    <d v="2025-11-14T00:00:00"/>
    <d v="1899-12-30T00:17:59"/>
    <x v="0"/>
    <s v="Uncovered Caches"/>
    <s v="N"/>
    <s v="Free Gear"/>
    <n v="0"/>
    <n v="21406"/>
    <n v="21406"/>
    <n v="1"/>
    <s v="Duo"/>
    <s v="Y"/>
    <n v="1"/>
  </r>
  <r>
    <d v="2025-11-14T00:00:00"/>
    <d v="1899-12-30T00:13:44"/>
    <x v="0"/>
    <s v="Uncovered Caches"/>
    <s v="N"/>
    <s v="Low Gear"/>
    <n v="8220"/>
    <n v="20216"/>
    <n v="28436"/>
    <n v="2.4593673965936738"/>
    <s v="Duo"/>
    <s v="Y"/>
    <n v="1"/>
  </r>
  <r>
    <d v="2025-11-14T00:00:00"/>
    <d v="1899-12-30T00:19:59"/>
    <x v="2"/>
    <s v="Matriarch"/>
    <s v="Y"/>
    <s v="High Gear"/>
    <n v="34090"/>
    <n v="45455"/>
    <n v="79545"/>
    <n v="1.3333822235259607"/>
    <s v="Duo"/>
    <s v="Y"/>
    <n v="1"/>
  </r>
  <r>
    <d v="2025-11-14T00:00:00"/>
    <d v="1899-12-30T00:13:15"/>
    <x v="2"/>
    <s v="Matriarch"/>
    <s v="N"/>
    <s v="High Gear"/>
    <n v="31505"/>
    <n v="29072"/>
    <n v="60577"/>
    <n v="0.92277416283129665"/>
    <s v="Duo"/>
    <s v="Y"/>
    <n v="1"/>
  </r>
  <r>
    <d v="2025-11-15T00:00:00"/>
    <d v="1899-12-30T00:28:13"/>
    <x v="1"/>
    <s v="None"/>
    <s v="N"/>
    <s v="High Gear"/>
    <n v="34108"/>
    <n v="12597"/>
    <n v="46705"/>
    <n v="0.36932684414213673"/>
    <s v="Duo"/>
    <s v="Y"/>
    <n v="1"/>
  </r>
  <r>
    <d v="2025-11-15T00:00:00"/>
    <d v="1899-12-30T00:20:56"/>
    <x v="4"/>
    <s v="None"/>
    <s v="N"/>
    <s v="High Gear"/>
    <n v="36910"/>
    <n v="19900"/>
    <n v="56810"/>
    <n v="0.53914928203738821"/>
    <s v="Trio"/>
    <s v="Y"/>
    <n v="1"/>
  </r>
  <r>
    <d v="2025-11-15T00:00:00"/>
    <d v="1899-12-30T00:12:50"/>
    <x v="4"/>
    <s v="None"/>
    <s v="N"/>
    <s v="High Gear"/>
    <n v="41300"/>
    <n v="-1218"/>
    <n v="40082"/>
    <n v="-2.9491525423728814E-2"/>
    <s v="Trio"/>
    <s v="Y"/>
    <n v="1"/>
  </r>
  <r>
    <d v="2025-11-15T00:00:00"/>
    <d v="1899-12-30T00:20:36"/>
    <x v="4"/>
    <s v="None"/>
    <s v="N"/>
    <s v="High Gear"/>
    <n v="54490"/>
    <n v="-7799"/>
    <n v="46691"/>
    <n v="-0.14312717929895394"/>
    <s v="Trio"/>
    <s v="Y"/>
    <n v="1"/>
  </r>
  <r>
    <d v="2025-11-15T00:00:00"/>
    <d v="1899-12-30T00:06:06"/>
    <x v="4"/>
    <s v="None"/>
    <s v="N"/>
    <s v="High Gear"/>
    <n v="54346"/>
    <n v="-51234"/>
    <n v="3112"/>
    <n v="-0.9427372759724727"/>
    <s v="Trio"/>
    <s v="N"/>
    <n v="0"/>
  </r>
  <r>
    <d v="2025-11-15T00:00:00"/>
    <d v="1899-12-30T00:03:43"/>
    <x v="4"/>
    <s v="None"/>
    <s v="N"/>
    <s v="Free Gear"/>
    <n v="0"/>
    <n v="0"/>
    <n v="0"/>
    <n v="0"/>
    <s v="Trio"/>
    <s v="N"/>
    <n v="0"/>
  </r>
  <r>
    <d v="2025-11-15T00:00:00"/>
    <d v="1899-12-30T00:05:40"/>
    <x v="4"/>
    <s v="None"/>
    <s v="N"/>
    <s v="Free Gear"/>
    <n v="0"/>
    <n v="0"/>
    <n v="0"/>
    <n v="0"/>
    <s v="Trio"/>
    <s v="N"/>
    <n v="0"/>
  </r>
  <r>
    <d v="2025-11-15T00:00:00"/>
    <d v="1899-12-30T00:17:56"/>
    <x v="4"/>
    <s v="None"/>
    <s v="N"/>
    <s v="Low Gear"/>
    <n v="10586"/>
    <n v="24195"/>
    <n v="34781"/>
    <n v="2.2855658416776876"/>
    <s v="Duo"/>
    <s v="Y"/>
    <n v="1"/>
  </r>
  <r>
    <d v="2025-11-18T00:00:00"/>
    <d v="1899-12-30T00:09:06"/>
    <x v="4"/>
    <s v="None"/>
    <s v="N"/>
    <s v="Free Gear"/>
    <n v="0"/>
    <n v="9747"/>
    <n v="9747"/>
    <n v="1"/>
    <s v="Duo"/>
    <s v="Y"/>
    <n v="1"/>
  </r>
  <r>
    <d v="2025-11-18T00:00:00"/>
    <d v="1899-12-30T00:07:16"/>
    <x v="1"/>
    <s v="None"/>
    <s v="N"/>
    <s v="Low Gear"/>
    <n v="7232"/>
    <n v="-7140"/>
    <n v="92"/>
    <n v="-0.9872787610619469"/>
    <s v="Duo"/>
    <s v="N"/>
    <n v="0"/>
  </r>
  <r>
    <d v="2025-11-18T00:00:00"/>
    <d v="1899-12-30T00:07:55"/>
    <x v="3"/>
    <s v="None"/>
    <s v="N"/>
    <s v="Free Gear"/>
    <n v="0"/>
    <n v="0"/>
    <n v="0"/>
    <n v="0"/>
    <s v="Duo"/>
    <s v="N"/>
    <n v="0"/>
  </r>
  <r>
    <d v="2025-11-18T00:00:00"/>
    <d v="1899-12-30T00:25:31"/>
    <x v="3"/>
    <s v="None"/>
    <s v="N"/>
    <s v="Low Gear"/>
    <n v="18570"/>
    <n v="26644"/>
    <n v="45214"/>
    <n v="1.4347872913301023"/>
    <s v="Duo"/>
    <s v="Y"/>
    <n v="1"/>
  </r>
  <r>
    <d v="2025-11-18T00:00:00"/>
    <d v="1899-12-30T00:21:51"/>
    <x v="3"/>
    <s v="Husk Graveyard"/>
    <s v="N"/>
    <s v="High Gear"/>
    <n v="40060"/>
    <n v="-30988"/>
    <n v="9072"/>
    <n v="-0.7735396904643036"/>
    <s v="Duo"/>
    <s v="N"/>
    <n v="0"/>
  </r>
  <r>
    <d v="2025-11-18T00:00:00"/>
    <d v="1899-12-30T00:09:40"/>
    <x v="1"/>
    <s v="Night Raid"/>
    <m/>
    <s v="High Gear"/>
    <n v="44820"/>
    <n v="-40298"/>
    <n v="4522"/>
    <n v="-0.89910754127621595"/>
    <s v="Duo"/>
    <s v="N"/>
    <n v="0"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  <r>
    <m/>
    <m/>
    <x v="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d v="2025-11-08T00:00:00"/>
    <d v="1899-12-30T00:04:47"/>
    <s v="Buried City"/>
    <s v="None"/>
    <s v="N"/>
    <x v="0"/>
    <n v="0"/>
    <n v="9795"/>
    <n v="9795"/>
    <n v="1"/>
    <s v="Duo"/>
    <s v="Y"/>
    <n v="1"/>
  </r>
  <r>
    <d v="2025-11-08T00:00:00"/>
    <d v="1899-12-30T00:23:40"/>
    <s v="Buried City"/>
    <s v="None"/>
    <s v="N"/>
    <x v="1"/>
    <n v="13020"/>
    <n v="18948"/>
    <n v="31968"/>
    <n v="1.4552995391705068"/>
    <s v="Solo"/>
    <s v="Y"/>
    <n v="1"/>
  </r>
  <r>
    <d v="2025-11-08T00:00:00"/>
    <d v="1899-12-30T00:18:38"/>
    <s v="Buried City"/>
    <s v="None"/>
    <s v="N"/>
    <x v="1"/>
    <n v="19985"/>
    <n v="13686"/>
    <n v="33671"/>
    <n v="0.68481361020765574"/>
    <s v="Duo"/>
    <s v="Y"/>
    <n v="1"/>
  </r>
  <r>
    <d v="2025-11-08T00:00:00"/>
    <d v="1899-12-30T00:25:10"/>
    <s v="Dam Battlegrounds"/>
    <s v="None"/>
    <s v="N"/>
    <x v="0"/>
    <n v="0"/>
    <n v="38219"/>
    <n v="38219"/>
    <n v="1"/>
    <s v="Solo"/>
    <s v="Y"/>
    <n v="1"/>
  </r>
  <r>
    <d v="2025-11-08T00:00:00"/>
    <d v="1899-12-30T00:29:41"/>
    <s v="Dam Battlegrounds"/>
    <s v="Lush Blooms"/>
    <s v="N"/>
    <x v="1"/>
    <n v="20320"/>
    <n v="-15860"/>
    <n v="4460"/>
    <n v="-0.78051181102362199"/>
    <s v="Duo"/>
    <s v="N"/>
    <n v="0"/>
  </r>
  <r>
    <d v="2025-11-08T00:00:00"/>
    <d v="1899-12-30T00:21:19"/>
    <s v="Dam Battlegrounds"/>
    <s v="None"/>
    <s v="N"/>
    <x v="1"/>
    <n v="24413"/>
    <n v="30526"/>
    <n v="54939"/>
    <n v="1.2503993773809037"/>
    <s v="Duo"/>
    <s v="Y"/>
    <n v="1"/>
  </r>
  <r>
    <d v="2025-11-08T00:00:00"/>
    <d v="1899-12-30T00:25:01"/>
    <s v="Spaceport"/>
    <s v="Launch Tower Loot"/>
    <s v="N"/>
    <x v="0"/>
    <n v="0"/>
    <n v="0"/>
    <n v="0"/>
    <n v="0"/>
    <s v="Duo"/>
    <s v="N"/>
    <n v="0"/>
  </r>
  <r>
    <d v="2025-11-08T00:00:00"/>
    <d v="1899-12-30T00:09:02"/>
    <s v="Spaceport"/>
    <s v="Launch Tower Loot"/>
    <s v="N"/>
    <x v="1"/>
    <n v="25354"/>
    <n v="-24282"/>
    <n v="1072"/>
    <n v="-0.95771870316320895"/>
    <s v="Duo"/>
    <s v="N"/>
    <n v="0"/>
  </r>
  <r>
    <d v="2025-11-08T00:00:00"/>
    <d v="1899-12-30T00:27:14"/>
    <s v="Spaceport"/>
    <s v="None"/>
    <s v="N"/>
    <x v="2"/>
    <n v="34903"/>
    <n v="20320"/>
    <n v="55223"/>
    <n v="0.58218491247170734"/>
    <s v="Duo"/>
    <s v="Y"/>
    <n v="1"/>
  </r>
  <r>
    <d v="2025-11-08T00:00:00"/>
    <d v="1899-12-30T00:18:56"/>
    <s v="The Blue Gate"/>
    <s v="Lush Blooms"/>
    <s v="N"/>
    <x v="1"/>
    <n v="15840"/>
    <n v="15141"/>
    <n v="30981"/>
    <n v="0.95587121212121207"/>
    <s v="Solo"/>
    <s v="Y"/>
    <n v="1"/>
  </r>
  <r>
    <d v="2025-11-08T00:00:00"/>
    <d v="1899-12-30T00:09:53"/>
    <s v="Spaceport"/>
    <s v="Launch Tower Loot"/>
    <s v="N"/>
    <x v="1"/>
    <n v="29585"/>
    <n v="-30393"/>
    <n v="-808"/>
    <n v="-1.0273111374007098"/>
    <s v="Trio"/>
    <s v="N"/>
    <n v="0"/>
  </r>
  <r>
    <d v="2025-11-08T00:00:00"/>
    <d v="1899-12-30T00:27:02"/>
    <s v="Spaceport"/>
    <s v="Launch Tower Loot"/>
    <s v="Y"/>
    <x v="2"/>
    <n v="56687"/>
    <n v="21571"/>
    <n v="78258"/>
    <n v="0.38052816342371265"/>
    <s v="Trio"/>
    <s v="Y"/>
    <n v="1"/>
  </r>
  <r>
    <d v="2025-11-08T00:00:00"/>
    <d v="1899-12-30T00:18:26"/>
    <s v="Spaceport"/>
    <s v="Hidden Bunker"/>
    <s v="N"/>
    <x v="2"/>
    <n v="58774"/>
    <n v="-57670"/>
    <n v="1104"/>
    <n v="-0.98121618402695066"/>
    <s v="Trio"/>
    <s v="N"/>
    <n v="0"/>
  </r>
  <r>
    <d v="2025-11-08T00:00:00"/>
    <d v="1899-12-30T00:06:43"/>
    <s v="Dam Battlegrounds"/>
    <s v="Lush Blooms"/>
    <s v="N"/>
    <x v="0"/>
    <n v="0"/>
    <n v="0"/>
    <n v="0"/>
    <n v="0"/>
    <s v="Trio"/>
    <s v="N"/>
    <n v="0"/>
  </r>
  <r>
    <d v="2025-11-09T00:00:00"/>
    <d v="1899-12-30T00:10:02"/>
    <s v="Dam Battlegrounds"/>
    <s v="Electromagnetic Storm"/>
    <s v="N"/>
    <x v="0"/>
    <n v="0"/>
    <n v="0"/>
    <n v="0"/>
    <n v="0"/>
    <s v="Trio"/>
    <s v="N"/>
    <n v="0"/>
  </r>
  <r>
    <d v="2025-11-09T00:00:00"/>
    <d v="1899-12-30T00:28:58"/>
    <s v="Dam Battlegrounds"/>
    <s v="Electromagnetic Storm"/>
    <s v="Y"/>
    <x v="0"/>
    <n v="0"/>
    <n v="41829"/>
    <n v="41829"/>
    <n v="1"/>
    <s v="Trio"/>
    <s v="Y"/>
    <n v="1"/>
  </r>
  <r>
    <d v="2025-11-09T00:00:00"/>
    <d v="1899-12-30T00:20:41"/>
    <s v="The Blue Gate"/>
    <s v="Electromagnetic Storm"/>
    <s v="Y"/>
    <x v="1"/>
    <n v="23037"/>
    <n v="24099"/>
    <n v="47136"/>
    <n v="1.0460997525719495"/>
    <s v="Solo"/>
    <s v="Y"/>
    <n v="1"/>
  </r>
  <r>
    <d v="2025-11-09T00:00:00"/>
    <d v="1899-12-30T00:04:01"/>
    <s v="Buried City"/>
    <s v="None"/>
    <s v="N"/>
    <x v="1"/>
    <n v="21163"/>
    <n v="-21891"/>
    <n v="-728"/>
    <n v="-1.0343996597835845"/>
    <s v="Solo"/>
    <s v="N"/>
    <n v="0"/>
  </r>
  <r>
    <d v="2025-11-09T00:00:00"/>
    <d v="1899-12-30T00:03:44"/>
    <s v="Buried City"/>
    <s v="None"/>
    <s v="N"/>
    <x v="0"/>
    <n v="0"/>
    <n v="0"/>
    <n v="0"/>
    <n v="0"/>
    <s v="Solo"/>
    <s v="N"/>
    <n v="0"/>
  </r>
  <r>
    <d v="2025-11-09T00:00:00"/>
    <d v="1899-12-30T00:14:22"/>
    <s v="Buried City"/>
    <s v="None"/>
    <s v="N"/>
    <x v="0"/>
    <n v="0"/>
    <n v="19673"/>
    <n v="19673"/>
    <n v="1"/>
    <s v="Solo"/>
    <s v="Y"/>
    <n v="1"/>
  </r>
  <r>
    <d v="2025-11-09T00:00:00"/>
    <d v="1899-12-30T00:25:36"/>
    <s v="Spaceport"/>
    <s v="None"/>
    <s v="N"/>
    <x v="1"/>
    <n v="20300"/>
    <n v="29574"/>
    <n v="49874"/>
    <n v="1.4568472906403942"/>
    <s v="Solo"/>
    <s v="Y"/>
    <n v="1"/>
  </r>
  <r>
    <d v="2025-11-09T00:00:00"/>
    <d v="1899-12-30T00:10:23"/>
    <s v="Dam Battlegrounds"/>
    <s v="Electromagnetic Storm"/>
    <s v="Y"/>
    <x v="0"/>
    <n v="0"/>
    <n v="0"/>
    <n v="0"/>
    <n v="0"/>
    <s v="Duo"/>
    <s v="N"/>
    <n v="0"/>
  </r>
  <r>
    <d v="2025-11-09T00:00:00"/>
    <d v="1899-12-30T00:16:42"/>
    <s v="Spaceport"/>
    <s v="Lush Blooms"/>
    <s v="N"/>
    <x v="0"/>
    <n v="0"/>
    <n v="12070"/>
    <n v="12070"/>
    <n v="1"/>
    <s v="Trio"/>
    <s v="Y"/>
    <n v="1"/>
  </r>
  <r>
    <d v="2025-11-09T00:00:00"/>
    <d v="1899-12-30T00:14:18"/>
    <s v="Dam Battlegrounds"/>
    <s v="None"/>
    <s v="N"/>
    <x v="1"/>
    <n v="23029"/>
    <n v="21374"/>
    <n v="44403"/>
    <n v="0.92813409179729911"/>
    <s v="Trio"/>
    <s v="Y"/>
    <n v="1"/>
  </r>
  <r>
    <d v="2025-11-09T00:00:00"/>
    <d v="1899-12-30T00:10:29"/>
    <s v="Spaceport"/>
    <s v="Husk Graveyard"/>
    <s v="N"/>
    <x v="1"/>
    <n v="20226"/>
    <n v="10412"/>
    <n v="30638"/>
    <n v="0.514782952635222"/>
    <s v="Trio"/>
    <s v="Y"/>
    <n v="1"/>
  </r>
  <r>
    <d v="2025-11-10T00:00:00"/>
    <d v="1899-12-30T00:24:43"/>
    <s v="Dam Battlegrounds"/>
    <s v="Electromagnetic Storm"/>
    <s v="Y"/>
    <x v="1"/>
    <n v="20091"/>
    <n v="17823"/>
    <n v="37914"/>
    <n v="0.88711363296998658"/>
    <s v="Solo"/>
    <s v="Y"/>
    <n v="1"/>
  </r>
  <r>
    <d v="2025-11-11T00:00:00"/>
    <d v="1899-12-30T00:25:35"/>
    <s v="The Blue Gate"/>
    <s v="Lush Blooms"/>
    <s v="N"/>
    <x v="1"/>
    <n v="25929"/>
    <n v="16983"/>
    <n v="42912"/>
    <n v="0.65498090940645615"/>
    <s v="Solo"/>
    <s v="Y"/>
    <n v="1"/>
  </r>
  <r>
    <d v="2025-11-11T00:00:00"/>
    <d v="1899-12-30T00:20:19"/>
    <s v="Dam Battlegrounds"/>
    <s v="None"/>
    <s v="N"/>
    <x v="1"/>
    <n v="28919"/>
    <n v="17448"/>
    <n v="46367"/>
    <n v="0.60334036446626782"/>
    <s v="Duo"/>
    <s v="Y"/>
    <n v="1"/>
  </r>
  <r>
    <d v="2025-11-11T00:00:00"/>
    <d v="1899-12-30T00:12:13"/>
    <s v="Buried City"/>
    <s v="None"/>
    <s v="N"/>
    <x v="1"/>
    <n v="27274"/>
    <n v="-27710"/>
    <n v="-436"/>
    <n v="-1.0159859206570361"/>
    <s v="Duo"/>
    <s v="N"/>
    <n v="0"/>
  </r>
  <r>
    <d v="2025-11-12T00:00:00"/>
    <d v="1899-12-30T00:19:37"/>
    <s v="Dam Battlegrounds"/>
    <s v="None"/>
    <s v="N"/>
    <x v="2"/>
    <n v="31660"/>
    <n v="9187"/>
    <n v="40847"/>
    <n v="0.29017687934301956"/>
    <s v="Duo"/>
    <s v="Y"/>
    <n v="1"/>
  </r>
  <r>
    <d v="2025-11-12T00:00:00"/>
    <d v="1899-12-30T00:16:51"/>
    <s v="Buried City"/>
    <s v="None"/>
    <s v="N"/>
    <x v="1"/>
    <n v="24675"/>
    <n v="-24675"/>
    <n v="0"/>
    <n v="-1"/>
    <s v="Duo"/>
    <s v="N"/>
    <n v="0"/>
  </r>
  <r>
    <d v="2025-11-12T00:00:00"/>
    <d v="1899-12-30T00:27:06"/>
    <s v="Buried City"/>
    <s v="None"/>
    <s v="N"/>
    <x v="1"/>
    <n v="18107"/>
    <n v="35256"/>
    <n v="53363"/>
    <n v="1.9470922847517536"/>
    <s v="Duo"/>
    <s v="Y"/>
    <n v="1"/>
  </r>
  <r>
    <d v="2025-11-12T00:00:00"/>
    <d v="1899-12-30T00:11:40"/>
    <s v="Buried City"/>
    <s v="None"/>
    <s v="N"/>
    <x v="1"/>
    <n v="19157"/>
    <n v="27100"/>
    <n v="46257"/>
    <n v="1.4146265072819335"/>
    <s v="Duo"/>
    <s v="Y"/>
    <n v="1"/>
  </r>
  <r>
    <d v="2025-11-12T00:00:00"/>
    <d v="1899-12-30T00:07:30"/>
    <s v="The Blue Gate"/>
    <s v="None"/>
    <s v="N"/>
    <x v="1"/>
    <n v="18227"/>
    <n v="-8155"/>
    <n v="10072"/>
    <n v="-0.44741317825204369"/>
    <s v="Trio"/>
    <s v="Y"/>
    <n v="1"/>
  </r>
  <r>
    <d v="2025-11-12T00:00:00"/>
    <d v="1899-12-30T00:19:05"/>
    <s v="Dam Battlegrounds"/>
    <s v="None"/>
    <s v="N"/>
    <x v="0"/>
    <n v="0"/>
    <n v="12045"/>
    <n v="12045"/>
    <n v="1"/>
    <s v="Trio"/>
    <s v="Y"/>
    <n v="1"/>
  </r>
  <r>
    <d v="2025-11-14T00:00:00"/>
    <d v="1899-12-30T00:15:37"/>
    <s v="Dam Battlegrounds"/>
    <s v="None"/>
    <s v="N"/>
    <x v="1"/>
    <n v="10878"/>
    <n v="26653"/>
    <n v="37531"/>
    <n v="2.4501746644603788"/>
    <s v="Trio"/>
    <s v="Y"/>
    <n v="1"/>
  </r>
  <r>
    <d v="2025-11-14T00:00:00"/>
    <d v="1899-12-30T00:04:36"/>
    <s v="Buried City"/>
    <s v="None"/>
    <s v="N"/>
    <x v="1"/>
    <n v="10878"/>
    <n v="-11286"/>
    <n v="-408"/>
    <n v="-1.0375068946497519"/>
    <s v="Trio"/>
    <s v="N"/>
    <n v="0"/>
  </r>
  <r>
    <d v="2025-11-14T00:00:00"/>
    <d v="1899-12-30T00:17:59"/>
    <s v="Buried City"/>
    <s v="Uncovered Caches"/>
    <s v="N"/>
    <x v="0"/>
    <n v="0"/>
    <n v="21406"/>
    <n v="21406"/>
    <n v="1"/>
    <s v="Duo"/>
    <s v="Y"/>
    <n v="1"/>
  </r>
  <r>
    <d v="2025-11-14T00:00:00"/>
    <d v="1899-12-30T00:13:44"/>
    <s v="Buried City"/>
    <s v="Uncovered Caches"/>
    <s v="N"/>
    <x v="1"/>
    <n v="8220"/>
    <n v="20216"/>
    <n v="28436"/>
    <n v="2.4593673965936738"/>
    <s v="Duo"/>
    <s v="Y"/>
    <n v="1"/>
  </r>
  <r>
    <d v="2025-11-14T00:00:00"/>
    <d v="1899-12-30T00:19:59"/>
    <s v="Spaceport"/>
    <s v="Matriarch"/>
    <s v="Y"/>
    <x v="2"/>
    <n v="34090"/>
    <n v="45455"/>
    <n v="79545"/>
    <n v="1.3333822235259607"/>
    <s v="Duo"/>
    <s v="Y"/>
    <n v="1"/>
  </r>
  <r>
    <d v="2025-11-14T00:00:00"/>
    <d v="1899-12-30T00:13:15"/>
    <s v="Spaceport"/>
    <s v="Matriarch"/>
    <s v="N"/>
    <x v="2"/>
    <n v="31505"/>
    <n v="29072"/>
    <n v="60577"/>
    <n v="0.92277416283129665"/>
    <s v="Duo"/>
    <s v="Y"/>
    <n v="1"/>
  </r>
  <r>
    <d v="2025-11-15T00:00:00"/>
    <d v="1899-12-30T00:28:13"/>
    <s v="Dam Battlegrounds"/>
    <s v="None"/>
    <s v="N"/>
    <x v="2"/>
    <n v="34108"/>
    <n v="12597"/>
    <n v="46705"/>
    <n v="0.36932684414213673"/>
    <s v="Duo"/>
    <s v="Y"/>
    <n v="1"/>
  </r>
  <r>
    <d v="2025-11-15T00:00:00"/>
    <d v="1899-12-30T00:20:56"/>
    <s v="Stella Montis"/>
    <s v="None"/>
    <s v="N"/>
    <x v="2"/>
    <n v="36910"/>
    <n v="19900"/>
    <n v="56810"/>
    <n v="0.53914928203738821"/>
    <s v="Trio"/>
    <s v="Y"/>
    <n v="1"/>
  </r>
  <r>
    <d v="2025-11-15T00:00:00"/>
    <d v="1899-12-30T00:12:50"/>
    <s v="Stella Montis"/>
    <s v="None"/>
    <s v="N"/>
    <x v="2"/>
    <n v="41300"/>
    <n v="-1218"/>
    <n v="40082"/>
    <n v="-2.9491525423728814E-2"/>
    <s v="Trio"/>
    <s v="Y"/>
    <n v="1"/>
  </r>
  <r>
    <d v="2025-11-15T00:00:00"/>
    <d v="1899-12-30T00:20:36"/>
    <s v="Stella Montis"/>
    <s v="None"/>
    <s v="N"/>
    <x v="2"/>
    <n v="54490"/>
    <n v="-7799"/>
    <n v="46691"/>
    <n v="-0.14312717929895394"/>
    <s v="Trio"/>
    <s v="Y"/>
    <n v="1"/>
  </r>
  <r>
    <d v="2025-11-15T00:00:00"/>
    <d v="1899-12-30T00:06:06"/>
    <s v="Stella Montis"/>
    <s v="None"/>
    <s v="N"/>
    <x v="2"/>
    <n v="54346"/>
    <n v="-51234"/>
    <n v="3112"/>
    <n v="-0.9427372759724727"/>
    <s v="Trio"/>
    <s v="N"/>
    <n v="0"/>
  </r>
  <r>
    <d v="2025-11-15T00:00:00"/>
    <d v="1899-12-30T00:03:43"/>
    <s v="Stella Montis"/>
    <s v="None"/>
    <s v="N"/>
    <x v="0"/>
    <n v="0"/>
    <n v="0"/>
    <n v="0"/>
    <n v="0"/>
    <s v="Trio"/>
    <s v="N"/>
    <n v="0"/>
  </r>
  <r>
    <d v="2025-11-15T00:00:00"/>
    <d v="1899-12-30T00:05:40"/>
    <s v="Stella Montis"/>
    <s v="None"/>
    <s v="N"/>
    <x v="0"/>
    <n v="0"/>
    <n v="0"/>
    <n v="0"/>
    <n v="0"/>
    <s v="Trio"/>
    <s v="N"/>
    <n v="0"/>
  </r>
  <r>
    <d v="2025-11-15T00:00:00"/>
    <d v="1899-12-30T00:17:56"/>
    <s v="Stella Montis"/>
    <s v="None"/>
    <s v="N"/>
    <x v="1"/>
    <n v="10586"/>
    <n v="24195"/>
    <n v="34781"/>
    <n v="2.2855658416776876"/>
    <s v="Duo"/>
    <s v="Y"/>
    <n v="1"/>
  </r>
  <r>
    <d v="2025-11-18T00:00:00"/>
    <d v="1899-12-30T00:09:06"/>
    <s v="Stella Montis"/>
    <s v="None"/>
    <s v="N"/>
    <x v="0"/>
    <n v="0"/>
    <n v="9747"/>
    <n v="9747"/>
    <n v="1"/>
    <s v="Duo"/>
    <s v="Y"/>
    <n v="1"/>
  </r>
  <r>
    <d v="2025-11-18T00:00:00"/>
    <d v="1899-12-30T00:07:16"/>
    <s v="Dam Battlegrounds"/>
    <s v="None"/>
    <s v="N"/>
    <x v="1"/>
    <n v="7232"/>
    <n v="-7140"/>
    <n v="92"/>
    <n v="-0.9872787610619469"/>
    <s v="Duo"/>
    <s v="N"/>
    <n v="0"/>
  </r>
  <r>
    <d v="2025-11-18T00:00:00"/>
    <d v="1899-12-30T00:07:55"/>
    <s v="The Blue Gate"/>
    <s v="None"/>
    <s v="N"/>
    <x v="0"/>
    <n v="0"/>
    <n v="0"/>
    <n v="0"/>
    <n v="0"/>
    <s v="Duo"/>
    <s v="N"/>
    <n v="0"/>
  </r>
  <r>
    <d v="2025-11-18T00:00:00"/>
    <d v="1899-12-30T00:25:31"/>
    <s v="The Blue Gate"/>
    <s v="None"/>
    <s v="N"/>
    <x v="1"/>
    <n v="18570"/>
    <n v="26644"/>
    <n v="45214"/>
    <n v="1.4347872913301023"/>
    <s v="Duo"/>
    <s v="Y"/>
    <n v="1"/>
  </r>
  <r>
    <d v="2025-11-18T00:00:00"/>
    <d v="1899-12-30T00:21:51"/>
    <s v="The Blue Gate"/>
    <s v="Husk Graveyard"/>
    <s v="N"/>
    <x v="2"/>
    <n v="40060"/>
    <n v="-30988"/>
    <n v="9072"/>
    <n v="-0.7735396904643036"/>
    <s v="Duo"/>
    <s v="N"/>
    <n v="0"/>
  </r>
  <r>
    <d v="2025-11-18T00:00:00"/>
    <d v="1899-12-30T00:09:40"/>
    <s v="Dam Battlegrounds"/>
    <s v="Night Raid"/>
    <m/>
    <x v="2"/>
    <n v="44820"/>
    <n v="-40298"/>
    <n v="4522"/>
    <n v="-0.89910754127621595"/>
    <s v="Duo"/>
    <s v="N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AR Stats Dash" cacheId="5" applyNumberFormats="0" applyBorderFormats="0" applyFontFormats="0" applyPatternFormats="0" applyAlignmentFormats="0" applyWidthHeightFormats="0" dataCaption="" updatedVersion="8" rowGrandTotals="0" compact="0" compactData="0">
  <location ref="C13:D17" firstHeaderRow="1" firstDataRow="1" firstDataCol="1"/>
  <pivotFields count="13">
    <pivotField name="Date" compact="0" numFmtId="165" outline="0" multipleItemSelectionAllowed="1" showAll="0"/>
    <pivotField name="Match Duration (mins)" compact="0" numFmtId="164" outline="0" multipleItemSelectionAllowed="1" showAll="0"/>
    <pivotField name="Map" axis="axisRow" compact="0" outline="0" multipleItemSelectionAllowed="1" showAll="0" sortType="ascending">
      <items count="7">
        <item x="0"/>
        <item x="1"/>
        <item x="2"/>
        <item h="1" x="4"/>
        <item x="3"/>
        <item h="1" x="5"/>
        <item t="default"/>
      </items>
    </pivotField>
    <pivotField name="Map Event" compact="0" outline="0" multipleItemSelectionAllowed="1" showAll="0"/>
    <pivotField name="Event Loot (Y/N)" compact="0" outline="0" multipleItemSelectionAllowed="1" showAll="0"/>
    <pivotField name="Loadout Type" compact="0" outline="0" multipleItemSelectionAllowed="1" showAll="0"/>
    <pivotField name="Starting Loot Value" compact="0" numFmtId="3" outline="0" multipleItemSelectionAllowed="1" showAll="0"/>
    <pivotField name="Loot Gained" compact="0" numFmtId="3" outline="0" multipleItemSelectionAllowed="1" showAll="0"/>
    <pivotField name="Total Value" compact="0" outline="0" multipleItemSelectionAllowed="1" showAll="0"/>
    <pivotField name="Loot Gained %" compact="0" numFmtId="10" outline="0" multipleItemSelectionAllowed="1" showAll="0"/>
    <pivotField name="Solo/Duo/Trio" compact="0" outline="0" multipleItemSelectionAllowed="1" showAll="0"/>
    <pivotField name="Survived (Y/N)" compact="0" outline="0" multipleItemSelectionAllowed="1" showAll="0"/>
    <pivotField name="Survived Num" dataField="1" compact="0" outline="0" multipleItemSelectionAllowed="1" showAll="0"/>
  </pivotFields>
  <rowFields count="1">
    <field x="2"/>
  </rowFields>
  <rowItems count="4">
    <i>
      <x/>
    </i>
    <i>
      <x v="1"/>
    </i>
    <i>
      <x v="2"/>
    </i>
    <i>
      <x v="4"/>
    </i>
  </rowItems>
  <colItems count="1">
    <i/>
  </colItems>
  <dataFields count="1">
    <dataField name="Survival %" fld="12" subtotal="average" baseField="2" baseItem="0" numFmtId="10"/>
  </dataFields>
  <formats count="36">
    <format dxfId="108">
      <pivotArea field="2" type="button" dataOnly="0" labelOnly="1" outline="0" axis="axisRow" fieldPosition="0"/>
    </format>
    <format dxfId="107">
      <pivotArea dataOnly="0" labelOnly="1" outline="0" axis="axisValues" fieldPosition="0"/>
    </format>
    <format dxfId="106">
      <pivotArea field="2" type="button" dataOnly="0" labelOnly="1" outline="0" axis="axisRow" fieldPosition="0"/>
    </format>
    <format dxfId="105">
      <pivotArea dataOnly="0" labelOnly="1" outline="0" axis="axisValues" fieldPosition="0"/>
    </format>
    <format dxfId="104">
      <pivotArea field="2" type="button" dataOnly="0" labelOnly="1" outline="0" axis="axisRow" fieldPosition="0"/>
    </format>
    <format dxfId="103">
      <pivotArea field="2" type="button" dataOnly="0" labelOnly="1" outline="0" axis="axisRow" fieldPosition="0"/>
    </format>
    <format dxfId="102">
      <pivotArea dataOnly="0" labelOnly="1" outline="0" axis="axisValues" fieldPosition="0"/>
    </format>
    <format dxfId="101">
      <pivotArea field="2" type="button" dataOnly="0" labelOnly="1" outline="0" axis="axisRow" fieldPosition="0"/>
    </format>
    <format dxfId="100">
      <pivotArea dataOnly="0" labelOnly="1" outline="0" axis="axisValues" fieldPosition="0"/>
    </format>
    <format dxfId="99">
      <pivotArea field="2" type="button" dataOnly="0" labelOnly="1" outline="0" axis="axisRow" fieldPosition="0"/>
    </format>
    <format dxfId="98">
      <pivotArea dataOnly="0" labelOnly="1" outline="0" axis="axisValues" fieldPosition="0"/>
    </format>
    <format dxfId="97">
      <pivotArea dataOnly="0" labelOnly="1" outline="0" axis="axisValues" fieldPosition="0"/>
    </format>
    <format dxfId="96">
      <pivotArea field="2" type="button" dataOnly="0" labelOnly="1" outline="0" axis="axisRow" fieldPosition="0"/>
    </format>
    <format dxfId="95">
      <pivotArea dataOnly="0" labelOnly="1" outline="0" fieldPosition="0">
        <references count="1">
          <reference field="2" count="0"/>
        </references>
      </pivotArea>
    </format>
    <format dxfId="94">
      <pivotArea dataOnly="0" labelOnly="1" outline="0" fieldPosition="0">
        <references count="1">
          <reference field="2" count="0"/>
        </references>
      </pivotArea>
    </format>
    <format dxfId="93">
      <pivotArea dataOnly="0" labelOnly="1" outline="0" fieldPosition="0">
        <references count="1">
          <reference field="2" count="0"/>
        </references>
      </pivotArea>
    </format>
    <format dxfId="92">
      <pivotArea dataOnly="0" labelOnly="1" outline="0" fieldPosition="0">
        <references count="1">
          <reference field="2" count="0"/>
        </references>
      </pivotArea>
    </format>
    <format dxfId="91">
      <pivotArea dataOnly="0" labelOnly="1" outline="0" fieldPosition="0">
        <references count="1">
          <reference field="2" count="0"/>
        </references>
      </pivotArea>
    </format>
    <format dxfId="90">
      <pivotArea outline="0" fieldPosition="0"/>
    </format>
    <format dxfId="89">
      <pivotArea outline="0" fieldPosition="0"/>
    </format>
    <format dxfId="88">
      <pivotArea outline="0" fieldPosition="0"/>
    </format>
    <format dxfId="87">
      <pivotArea outline="0" fieldPosition="0"/>
    </format>
    <format dxfId="86">
      <pivotArea outline="0" fieldPosition="0"/>
    </format>
    <format dxfId="85">
      <pivotArea outline="0" fieldPosition="0">
        <references count="1">
          <reference field="4294967294" count="1">
            <x v="0"/>
          </reference>
        </references>
      </pivotArea>
    </format>
    <format dxfId="84">
      <pivotArea outline="0" fieldPosition="0"/>
    </format>
    <format dxfId="83">
      <pivotArea dataOnly="0" labelOnly="1" outline="0" fieldPosition="0">
        <references count="1">
          <reference field="2" count="0"/>
        </references>
      </pivotArea>
    </format>
    <format dxfId="82">
      <pivotArea field="2" type="button" dataOnly="0" labelOnly="1" outline="0" axis="axisRow" fieldPosition="0"/>
    </format>
    <format dxfId="81">
      <pivotArea dataOnly="0" labelOnly="1" outline="0" axis="axisValues" fieldPosition="0"/>
    </format>
    <format dxfId="80">
      <pivotArea field="2" type="button" dataOnly="0" labelOnly="1" outline="0" axis="axisRow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fieldPosition="0"/>
    </format>
    <format dxfId="76">
      <pivotArea field="2" type="button" dataOnly="0" labelOnly="1" outline="0" axis="axisRow" fieldPosition="0"/>
    </format>
    <format dxfId="75">
      <pivotArea dataOnly="0" labelOnly="1" outline="0" fieldPosition="0">
        <references count="1">
          <reference field="2" count="0"/>
        </references>
      </pivotArea>
    </format>
    <format dxfId="74">
      <pivotArea dataOnly="0" labelOnly="1" outline="0" axis="axisValues" fieldPosition="0"/>
    </format>
    <format dxfId="73">
      <pivotArea dataOnly="0" labelOnly="1" outline="0" fieldPosition="0">
        <references count="1">
          <reference field="2" count="0"/>
        </references>
      </pivotArea>
    </format>
  </formats>
  <conditionalFormats count="3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R Stats Dash 2" cacheId="9" applyNumberFormats="0" applyBorderFormats="0" applyFontFormats="0" applyPatternFormats="0" applyAlignmentFormats="0" applyWidthHeightFormats="0" dataCaption="" updatedVersion="8" rowGrandTotals="0" compact="0" compactData="0">
  <location ref="G13:H16" firstHeaderRow="1" firstDataRow="1" firstDataCol="1"/>
  <pivotFields count="13">
    <pivotField name="Date" compact="0" numFmtId="165" outline="0" multipleItemSelectionAllowed="1" showAll="0"/>
    <pivotField name="Match Duration (mins)" compact="0" numFmtId="164" outline="0" multipleItemSelectionAllowed="1" showAll="0"/>
    <pivotField name="Map" compact="0" outline="0" multipleItemSelectionAllowed="1" showAll="0"/>
    <pivotField name="Map Event" compact="0" outline="0" multipleItemSelectionAllowed="1" showAll="0"/>
    <pivotField name="Event Loot (Y/N)" compact="0" outline="0" multipleItemSelectionAllowed="1" showAll="0"/>
    <pivotField name="Loadout Type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Starting Loot Value" compact="0" numFmtId="3" outline="0" multipleItemSelectionAllowed="1" showAll="0"/>
    <pivotField name="Loot Gained" compact="0" numFmtId="3" outline="0" multipleItemSelectionAllowed="1" showAll="0"/>
    <pivotField name="Total Value" compact="0" outline="0" multipleItemSelectionAllowed="1" showAll="0"/>
    <pivotField name="Loot Gained %" dataField="1" compact="0" numFmtId="10" outline="0" multipleItemSelectionAllowed="1" showAll="0"/>
    <pivotField name="Solo/Duo/Trio" compact="0" outline="0" multipleItemSelectionAllowed="1" showAll="0"/>
    <pivotField name="Survived (Y/N)" compact="0" outline="0" multipleItemSelectionAllowed="1" showAll="0"/>
    <pivotField name="Survived Num" compact="0" outline="0" multipleItemSelectionAllowed="1" showAll="0"/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Avg. Loot Gained %" fld="9" subtotal="average" baseField="5" baseItem="0" numFmtId="10"/>
  </dataFields>
  <formats count="36">
    <format dxfId="144">
      <pivotArea field="5" type="button" dataOnly="0" labelOnly="1" outline="0" axis="axisRow" fieldPosition="0"/>
    </format>
    <format dxfId="143">
      <pivotArea dataOnly="0" labelOnly="1" outline="0" axis="axisValues" fieldPosition="0"/>
    </format>
    <format dxfId="142">
      <pivotArea field="5" type="button" dataOnly="0" labelOnly="1" outline="0" axis="axisRow" fieldPosition="0"/>
    </format>
    <format dxfId="141">
      <pivotArea dataOnly="0" labelOnly="1" outline="0" axis="axisValues" fieldPosition="0"/>
    </format>
    <format dxfId="140">
      <pivotArea field="5" type="button" dataOnly="0" labelOnly="1" outline="0" axis="axisRow" fieldPosition="0"/>
    </format>
    <format dxfId="139">
      <pivotArea field="5" type="button" dataOnly="0" labelOnly="1" outline="0" axis="axisRow" fieldPosition="0"/>
    </format>
    <format dxfId="138">
      <pivotArea dataOnly="0" labelOnly="1" outline="0" axis="axisValues" fieldPosition="0"/>
    </format>
    <format dxfId="137">
      <pivotArea field="5" type="button" dataOnly="0" labelOnly="1" outline="0" axis="axisRow" fieldPosition="0"/>
    </format>
    <format dxfId="136">
      <pivotArea dataOnly="0" labelOnly="1" outline="0" axis="axisValues" fieldPosition="0"/>
    </format>
    <format dxfId="135">
      <pivotArea field="5" type="button" dataOnly="0" labelOnly="1" outline="0" axis="axisRow" fieldPosition="0"/>
    </format>
    <format dxfId="134">
      <pivotArea dataOnly="0" labelOnly="1" outline="0" axis="axisValues" fieldPosition="0"/>
    </format>
    <format dxfId="133">
      <pivotArea outline="0" fieldPosition="0">
        <references count="1">
          <reference field="4294967294" count="1">
            <x v="0"/>
          </reference>
        </references>
      </pivotArea>
    </format>
    <format dxfId="132">
      <pivotArea field="5" type="button" dataOnly="0" labelOnly="1" outline="0" axis="axisRow" fieldPosition="0"/>
    </format>
    <format dxfId="131">
      <pivotArea dataOnly="0" labelOnly="1" outline="0" axis="axisValues" fieldPosition="0"/>
    </format>
    <format dxfId="130">
      <pivotArea dataOnly="0" labelOnly="1" outline="0" fieldPosition="0">
        <references count="1">
          <reference field="5" count="0"/>
        </references>
      </pivotArea>
    </format>
    <format dxfId="129">
      <pivotArea dataOnly="0" labelOnly="1" outline="0" fieldPosition="0">
        <references count="1">
          <reference field="5" count="0"/>
        </references>
      </pivotArea>
    </format>
    <format dxfId="128">
      <pivotArea dataOnly="0" labelOnly="1" outline="0" fieldPosition="0">
        <references count="1">
          <reference field="5" count="0"/>
        </references>
      </pivotArea>
    </format>
    <format dxfId="127">
      <pivotArea dataOnly="0" labelOnly="1" outline="0" fieldPosition="0">
        <references count="1">
          <reference field="5" count="0"/>
        </references>
      </pivotArea>
    </format>
    <format dxfId="126">
      <pivotArea dataOnly="0" labelOnly="1" outline="0" fieldPosition="0">
        <references count="1">
          <reference field="5" count="0"/>
        </references>
      </pivotArea>
    </format>
    <format dxfId="125">
      <pivotArea outline="0" fieldPosition="0"/>
    </format>
    <format dxfId="124">
      <pivotArea outline="0" fieldPosition="0"/>
    </format>
    <format dxfId="123">
      <pivotArea outline="0" fieldPosition="0"/>
    </format>
    <format dxfId="122">
      <pivotArea outline="0" fieldPosition="0"/>
    </format>
    <format dxfId="121">
      <pivotArea type="all" dataOnly="0" outline="0" fieldPosition="0"/>
    </format>
    <format dxfId="120">
      <pivotArea outline="0" fieldPosition="0"/>
    </format>
    <format dxfId="119">
      <pivotArea field="5" type="button" dataOnly="0" labelOnly="1" outline="0" axis="axisRow" fieldPosition="0"/>
    </format>
    <format dxfId="118">
      <pivotArea dataOnly="0" labelOnly="1" outline="0" fieldPosition="0">
        <references count="1">
          <reference field="5" count="0"/>
        </references>
      </pivotArea>
    </format>
    <format dxfId="117">
      <pivotArea dataOnly="0" labelOnly="1" outline="0" axis="axisValues" fieldPosition="0"/>
    </format>
    <format dxfId="116">
      <pivotArea type="all" dataOnly="0" outline="0" fieldPosition="0"/>
    </format>
    <format dxfId="115">
      <pivotArea outline="0" fieldPosition="0"/>
    </format>
    <format dxfId="114">
      <pivotArea field="5" type="button" dataOnly="0" labelOnly="1" outline="0" axis="axisRow" fieldPosition="0"/>
    </format>
    <format dxfId="113">
      <pivotArea dataOnly="0" labelOnly="1" outline="0" fieldPosition="0">
        <references count="1">
          <reference field="5" count="0"/>
        </references>
      </pivotArea>
    </format>
    <format dxfId="112">
      <pivotArea dataOnly="0" labelOnly="1" outline="0" axis="axisValues" fieldPosition="0"/>
    </format>
    <format dxfId="111">
      <pivotArea field="5" type="button" dataOnly="0" labelOnly="1" outline="0" axis="axisRow" fieldPosition="0"/>
    </format>
    <format dxfId="110">
      <pivotArea dataOnly="0" labelOnly="1" outline="0" axis="axisValues" fieldPosition="0"/>
    </format>
    <format dxfId="109">
      <pivotArea dataOnly="0" labelOnly="1" outline="0" fieldPosition="0">
        <references count="1">
          <reference field="5" count="0"/>
        </references>
      </pivotArea>
    </format>
  </formats>
  <conditionalFormats count="3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s" displayName="Stats" ref="A1:M56" headerRowDxfId="72">
  <tableColumns count="13">
    <tableColumn id="1" xr3:uid="{00000000-0010-0000-0000-000001000000}" name="Date"/>
    <tableColumn id="2" xr3:uid="{00000000-0010-0000-0000-000002000000}" name="Match Duration (mins)"/>
    <tableColumn id="3" xr3:uid="{00000000-0010-0000-0000-000003000000}" name="Map"/>
    <tableColumn id="4" xr3:uid="{00000000-0010-0000-0000-000004000000}" name="Map Event"/>
    <tableColumn id="5" xr3:uid="{00000000-0010-0000-0000-000005000000}" name="Event Loot (Y/N)"/>
    <tableColumn id="6" xr3:uid="{00000000-0010-0000-0000-000006000000}" name="Loadout Type"/>
    <tableColumn id="7" xr3:uid="{00000000-0010-0000-0000-000007000000}" name="Starting Loot Value"/>
    <tableColumn id="8" xr3:uid="{00000000-0010-0000-0000-000008000000}" name="Loot Gained"/>
    <tableColumn id="9" xr3:uid="{00000000-0010-0000-0000-000009000000}" name="Total Value"/>
    <tableColumn id="10" xr3:uid="{00000000-0010-0000-0000-00000A000000}" name="Loot Gained %"/>
    <tableColumn id="11" xr3:uid="{00000000-0010-0000-0000-00000B000000}" name="Solo/Duo/Trio"/>
    <tableColumn id="12" xr3:uid="{00000000-0010-0000-0000-00000C000000}" name="Survived (Y/N)"/>
    <tableColumn id="13" xr3:uid="{00000000-0010-0000-0000-00000D000000}" name="Survived Num">
      <calculatedColumnFormula>IF(Stats[[#This Row],[Survived (Y/N)]]="","",IF(Stats[[#This Row],[Survived (Y/N)]]="Y",1,0))</calculatedColumnFormula>
    </tableColumn>
  </tableColumns>
  <tableStyleInfo name="Arc_Raiders_Sta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0"/>
  <sheetViews>
    <sheetView showGridLines="0" tabSelected="1" zoomScale="130" zoomScaleNormal="130" workbookViewId="0">
      <selection activeCell="L29" sqref="L29"/>
    </sheetView>
  </sheetViews>
  <sheetFormatPr defaultColWidth="12.5703125" defaultRowHeight="15.75" customHeight="1" x14ac:dyDescent="0.2"/>
  <cols>
    <col min="1" max="8" width="21.42578125" customWidth="1"/>
    <col min="9" max="10" width="14.28515625" customWidth="1"/>
    <col min="13" max="13" width="23.42578125" customWidth="1"/>
    <col min="19" max="19" width="31.85546875" customWidth="1"/>
  </cols>
  <sheetData>
    <row r="1" spans="1:13" ht="23.25" x14ac:dyDescent="0.2">
      <c r="A1" s="1"/>
      <c r="B1" s="75" t="s">
        <v>0</v>
      </c>
      <c r="C1" s="52"/>
      <c r="D1" s="52"/>
      <c r="E1" s="52"/>
      <c r="F1" s="52"/>
      <c r="G1" s="52"/>
      <c r="H1" s="52"/>
      <c r="I1" s="52"/>
      <c r="J1" s="1"/>
    </row>
    <row r="2" spans="1:13" ht="17.25" x14ac:dyDescent="0.2">
      <c r="A2" s="1"/>
      <c r="B2" s="76" t="s">
        <v>1</v>
      </c>
      <c r="C2" s="63"/>
      <c r="D2" s="77" t="s">
        <v>2</v>
      </c>
      <c r="E2" s="63"/>
      <c r="F2" s="77" t="s">
        <v>3</v>
      </c>
      <c r="G2" s="63"/>
      <c r="H2" s="77" t="s">
        <v>4</v>
      </c>
      <c r="I2" s="65"/>
      <c r="J2" s="1"/>
    </row>
    <row r="3" spans="1:13" ht="17.25" x14ac:dyDescent="0.2">
      <c r="A3" s="1"/>
      <c r="B3" s="78">
        <f>COUNTA(Stats[Date])</f>
        <v>55</v>
      </c>
      <c r="C3" s="74"/>
      <c r="D3" s="79">
        <f>COUNTIF(Stats[Survived (Y/N)],"Y") / COUNTA(Stats[Survived (Y/N)])</f>
        <v>0.63636363636363635</v>
      </c>
      <c r="E3" s="74"/>
      <c r="F3" s="73" t="str" cm="1">
        <f t="array" ref="F3">_xlfn.LET(
  _xlpm.maps,_xlfn._xlws.FILTER(Stats[Map],Stats[Map]&lt;&gt;""),
  _xlpm.uniqueMaps,_xlfn.UNIQUE(_xlpm.maps),
  _xlpm.avgLoot,AVERAGEIF(Stats[Map],_xlpm.uniqueMaps,Stats[Loot Gained %]),
  _xlpm.bestMap,INDEX(_xlfn.SORTBY(_xlpm.uniqueMaps,_xlpm.avgLoot,-1),1),
  _xlpm.bestAvg,INDEX(_xlfn.SORTBY(_xlpm.avgLoot,_xlpm.avgLoot,-1),1),
  _xlpm.bestMap &amp; " (" &amp; TEXT(_xlpm.bestAvg,"0.00%") &amp; ")"
)</f>
        <v>Buried City (52.87%)</v>
      </c>
      <c r="G3" s="74"/>
      <c r="H3" s="73" t="str" cm="1">
        <f t="array" ref="H3">_xlfn.LET(
  _xlpm.maps,_xlfn._xlws.FILTER(Stats[Map],Stats[Map]&lt;&gt;""),
  _xlpm.uniqueMaps,_xlfn.UNIQUE(_xlpm.maps),
  _xlpm.avgLoot,AVERAGEIF(Stats[Map],_xlpm.uniqueMaps,Stats[Loot Gained %]),
  _xlpm.worstMap,INDEX(_xlfn.SORTBY(_xlpm.uniqueMaps,_xlpm.avgLoot,1),1),
  _xlpm.worstAvg,INDEX(_xlfn.SORTBY(_xlpm.avgLoot,_xlpm.avgLoot,1),1),
  _xlpm.worstMap &amp; " (" &amp; TEXT(_xlpm.worstAvg,"0.00%") &amp; ")"
)</f>
        <v>Spaceport (29.31%)</v>
      </c>
      <c r="I3" s="53"/>
      <c r="J3" s="1"/>
    </row>
    <row r="4" spans="1:13" ht="12.75" x14ac:dyDescent="0.2">
      <c r="A4" s="1"/>
      <c r="B4" s="2"/>
      <c r="C4" s="3"/>
      <c r="D4" s="3"/>
      <c r="E4" s="3"/>
      <c r="F4" s="3"/>
      <c r="G4" s="3"/>
      <c r="H4" s="3"/>
      <c r="I4" s="4"/>
      <c r="J4" s="1"/>
    </row>
    <row r="5" spans="1:13" ht="20.25" x14ac:dyDescent="0.2">
      <c r="A5" s="1"/>
      <c r="B5" s="61" t="s">
        <v>5</v>
      </c>
      <c r="C5" s="62"/>
      <c r="D5" s="62"/>
      <c r="E5" s="63"/>
      <c r="F5" s="64" t="s">
        <v>6</v>
      </c>
      <c r="G5" s="62"/>
      <c r="H5" s="62"/>
      <c r="I5" s="65"/>
      <c r="J5" s="1"/>
    </row>
    <row r="6" spans="1:13" ht="15.75" customHeight="1" x14ac:dyDescent="0.25">
      <c r="A6" s="1"/>
      <c r="B6" s="66" t="s">
        <v>7</v>
      </c>
      <c r="C6" s="67"/>
      <c r="D6" s="68">
        <f>AVERAGE(Stats[Loot Gained %])</f>
        <v>0.41435406772334693</v>
      </c>
      <c r="E6" s="69"/>
      <c r="F6" s="70" t="s">
        <v>8</v>
      </c>
      <c r="G6" s="67"/>
      <c r="H6" s="71">
        <f>MAX(Stats[Match Duration (mins)])</f>
        <v>2.0613425925925927E-2</v>
      </c>
      <c r="I6" s="72"/>
      <c r="J6" s="1"/>
    </row>
    <row r="7" spans="1:13" ht="15.75" customHeight="1" x14ac:dyDescent="0.25">
      <c r="A7" s="1"/>
      <c r="B7" s="54" t="s">
        <v>9</v>
      </c>
      <c r="C7" s="52"/>
      <c r="D7" s="49">
        <f>AVERAGE(Stats[Match Duration (mins)])</f>
        <v>1.1261784511784511E-2</v>
      </c>
      <c r="E7" s="50"/>
      <c r="F7" s="51" t="s">
        <v>10</v>
      </c>
      <c r="G7" s="52"/>
      <c r="H7" s="49">
        <f>MIN(Stats[Match Duration (mins)])</f>
        <v>2.5810185185185185E-3</v>
      </c>
      <c r="I7" s="53"/>
      <c r="J7" s="1"/>
    </row>
    <row r="8" spans="1:13" ht="15.75" customHeight="1" x14ac:dyDescent="0.25">
      <c r="A8" s="1"/>
      <c r="B8" s="55" t="s">
        <v>11</v>
      </c>
      <c r="C8" s="52"/>
      <c r="D8" s="56">
        <f>SUM(Stats[Loot Gained])</f>
        <v>338365</v>
      </c>
      <c r="E8" s="50"/>
      <c r="F8" s="57" t="s">
        <v>12</v>
      </c>
      <c r="G8" s="52"/>
      <c r="H8" s="58" t="str">
        <f>"+" &amp; TEXT(MAX(Stats[Loot Gained]), "#,##0")</f>
        <v>+45,455</v>
      </c>
      <c r="I8" s="53"/>
      <c r="J8" s="1"/>
    </row>
    <row r="9" spans="1:13" ht="15.75" customHeight="1" x14ac:dyDescent="0.25">
      <c r="A9" s="1"/>
      <c r="B9" s="54" t="s">
        <v>13</v>
      </c>
      <c r="C9" s="52"/>
      <c r="D9" s="59" t="str" cm="1">
        <f t="array" ref="D9">INDEX(Stats[Map],MATCH(MAX(IF(Stats[Map]&lt;&gt;"",COUNTIF(Stats[Map],Stats[Map]))),IF(Stats[Map]&lt;&gt;"",COUNTIF(Stats[Map],Stats[Map])),0))</f>
        <v>Dam Battlegrounds</v>
      </c>
      <c r="E9" s="50"/>
      <c r="F9" s="51" t="s">
        <v>14</v>
      </c>
      <c r="G9" s="52"/>
      <c r="H9" s="60">
        <f>MIN(Stats[Loot Gained])</f>
        <v>-57670</v>
      </c>
      <c r="I9" s="53"/>
      <c r="J9" s="1"/>
    </row>
    <row r="10" spans="1:13" ht="15.75" customHeight="1" x14ac:dyDescent="0.25">
      <c r="A10" s="1"/>
      <c r="B10" s="43" t="s">
        <v>15</v>
      </c>
      <c r="C10" s="44"/>
      <c r="D10" s="45" t="str" cm="1">
        <f t="array" ref="D10">INDEX(Stats[Loadout Type],MATCH(MAX(IF(Stats[Loadout Type]&lt;&gt;"",COUNTIF(Stats[Loadout Type],Stats[Loadout Type]))),IF(Stats[Loadout Type]&lt;&gt;"",COUNTIF(Stats[Loadout Type],Stats[Loadout Type])),0))</f>
        <v>Low Gear</v>
      </c>
      <c r="E10" s="46"/>
      <c r="F10" s="5"/>
      <c r="G10" s="6"/>
      <c r="H10" s="6"/>
      <c r="I10" s="7"/>
      <c r="J10" s="1"/>
    </row>
    <row r="11" spans="1:13" ht="14.25" thickTop="1" thickBot="1" x14ac:dyDescent="0.25">
      <c r="A11" s="1"/>
      <c r="B11" s="8"/>
      <c r="C11" s="9"/>
      <c r="D11" s="9"/>
      <c r="E11" s="9"/>
      <c r="F11" s="9"/>
      <c r="G11" s="9"/>
      <c r="H11" s="9"/>
      <c r="I11" s="10"/>
      <c r="J11" s="1"/>
    </row>
    <row r="12" spans="1:13" ht="22.5" thickTop="1" thickBot="1" x14ac:dyDescent="0.25">
      <c r="A12" s="1"/>
      <c r="B12" s="47" t="s">
        <v>16</v>
      </c>
      <c r="C12" s="48"/>
      <c r="D12" s="48"/>
      <c r="E12" s="44"/>
      <c r="F12" s="44"/>
      <c r="G12" s="48"/>
      <c r="H12" s="48"/>
      <c r="I12" s="44"/>
      <c r="J12" s="1"/>
    </row>
    <row r="13" spans="1:13" ht="17.25" thickTop="1" thickBot="1" x14ac:dyDescent="0.3">
      <c r="A13" s="1"/>
      <c r="B13" s="11"/>
      <c r="C13" s="30" t="s">
        <v>17</v>
      </c>
      <c r="D13" s="31" t="s">
        <v>18</v>
      </c>
      <c r="E13" s="12"/>
      <c r="F13" s="12"/>
      <c r="G13" s="36" t="s">
        <v>19</v>
      </c>
      <c r="H13" s="37" t="s">
        <v>20</v>
      </c>
      <c r="I13" s="13"/>
      <c r="J13" s="1"/>
    </row>
    <row r="14" spans="1:13" ht="16.5" thickTop="1" x14ac:dyDescent="0.25">
      <c r="A14" s="1"/>
      <c r="B14" s="14"/>
      <c r="C14" s="38" t="s">
        <v>21</v>
      </c>
      <c r="D14" s="32">
        <v>0.61538461538461542</v>
      </c>
      <c r="E14" s="15"/>
      <c r="F14" s="15"/>
      <c r="G14" s="41" t="s">
        <v>22</v>
      </c>
      <c r="H14" s="40">
        <v>0.5</v>
      </c>
      <c r="I14" s="16"/>
      <c r="J14" s="1"/>
    </row>
    <row r="15" spans="1:13" x14ac:dyDescent="0.25">
      <c r="A15" s="1"/>
      <c r="B15" s="14"/>
      <c r="C15" s="38" t="s">
        <v>23</v>
      </c>
      <c r="D15" s="32">
        <v>0.625</v>
      </c>
      <c r="E15" s="15"/>
      <c r="F15" s="15"/>
      <c r="G15" s="39" t="s">
        <v>24</v>
      </c>
      <c r="H15" s="33">
        <v>4.986946702404587E-2</v>
      </c>
      <c r="I15" s="16"/>
      <c r="J15" s="1"/>
      <c r="M15" s="17"/>
    </row>
    <row r="16" spans="1:13" x14ac:dyDescent="0.25">
      <c r="A16" s="1"/>
      <c r="B16" s="14"/>
      <c r="C16" s="38" t="s">
        <v>25</v>
      </c>
      <c r="D16" s="32">
        <v>0.63636363636363635</v>
      </c>
      <c r="E16" s="15"/>
      <c r="F16" s="15"/>
      <c r="G16" s="39" t="s">
        <v>26</v>
      </c>
      <c r="H16" s="33">
        <v>0.54389117897967232</v>
      </c>
      <c r="I16" s="16"/>
      <c r="J16" s="1"/>
      <c r="M16" s="17"/>
    </row>
    <row r="17" spans="1:13" x14ac:dyDescent="0.25">
      <c r="A17" s="1"/>
      <c r="B17" s="14"/>
      <c r="C17" s="38" t="s">
        <v>27</v>
      </c>
      <c r="D17" s="32">
        <v>0.7142857142857143</v>
      </c>
      <c r="E17" s="15"/>
      <c r="F17" s="15"/>
      <c r="G17" s="34"/>
      <c r="H17" s="35"/>
      <c r="I17" s="16"/>
      <c r="J17" s="1"/>
      <c r="M17" s="17"/>
    </row>
    <row r="18" spans="1:13" ht="13.5" thickBot="1" x14ac:dyDescent="0.25">
      <c r="A18" s="1"/>
      <c r="B18" s="8"/>
      <c r="C18" s="9"/>
      <c r="D18" s="18"/>
      <c r="E18" s="9"/>
      <c r="F18" s="9"/>
      <c r="G18" s="9"/>
      <c r="H18" s="9"/>
      <c r="I18" s="10"/>
      <c r="J18" s="1"/>
    </row>
    <row r="19" spans="1:13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3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3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3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3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3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3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3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3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3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3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3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3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3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75" customHeight="1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</row>
    <row r="38" spans="1:10" ht="15.75" customHeight="1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</row>
    <row r="39" spans="1:10" ht="15.75" customHeight="1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</row>
    <row r="40" spans="1:10" ht="15.75" customHeight="1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</row>
  </sheetData>
  <mergeCells count="30">
    <mergeCell ref="F3:G3"/>
    <mergeCell ref="H3:I3"/>
    <mergeCell ref="B1:I1"/>
    <mergeCell ref="B2:C2"/>
    <mergeCell ref="D2:E2"/>
    <mergeCell ref="F2:G2"/>
    <mergeCell ref="H2:I2"/>
    <mergeCell ref="B3:C3"/>
    <mergeCell ref="D3:E3"/>
    <mergeCell ref="B5:E5"/>
    <mergeCell ref="F5:I5"/>
    <mergeCell ref="B6:C6"/>
    <mergeCell ref="D6:E6"/>
    <mergeCell ref="F6:G6"/>
    <mergeCell ref="H6:I6"/>
    <mergeCell ref="B10:C10"/>
    <mergeCell ref="D10:E10"/>
    <mergeCell ref="B12:I12"/>
    <mergeCell ref="D7:E7"/>
    <mergeCell ref="F7:G7"/>
    <mergeCell ref="H7:I7"/>
    <mergeCell ref="B7:C7"/>
    <mergeCell ref="B8:C8"/>
    <mergeCell ref="D8:E8"/>
    <mergeCell ref="F8:G8"/>
    <mergeCell ref="H8:I8"/>
    <mergeCell ref="B9:C9"/>
    <mergeCell ref="D9:E9"/>
    <mergeCell ref="F9:G9"/>
    <mergeCell ref="H9:I9"/>
  </mergeCells>
  <conditionalFormatting pivot="1" sqref="D14:D17">
    <cfRule type="cellIs" dxfId="150" priority="4" operator="between">
      <formula>0.5</formula>
      <formula>0.75</formula>
    </cfRule>
  </conditionalFormatting>
  <conditionalFormatting pivot="1" sqref="D14:D17">
    <cfRule type="cellIs" dxfId="149" priority="6" operator="lessThan">
      <formula>0.5</formula>
    </cfRule>
  </conditionalFormatting>
  <conditionalFormatting pivot="1" sqref="D14:D17">
    <cfRule type="cellIs" dxfId="148" priority="5" operator="greaterThanOrEqual">
      <formula>0.07</formula>
    </cfRule>
  </conditionalFormatting>
  <conditionalFormatting pivot="1" sqref="H14:H16">
    <cfRule type="cellIs" dxfId="147" priority="3" operator="greaterThan">
      <formula>0</formula>
    </cfRule>
  </conditionalFormatting>
  <conditionalFormatting pivot="1" sqref="H14:H16">
    <cfRule type="cellIs" dxfId="146" priority="2" operator="equal">
      <formula>0</formula>
    </cfRule>
  </conditionalFormatting>
  <conditionalFormatting pivot="1" sqref="H14:H16">
    <cfRule type="cellIs" dxfId="145" priority="1" operator="lessThan">
      <formula>0</formula>
    </cfRule>
  </conditionalFormatting>
  <pageMargins left="0.7" right="0.7" top="0.75" bottom="0.75" header="0.3" footer="0.3"/>
  <pageSetup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14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10.140625" bestFit="1" customWidth="1"/>
    <col min="2" max="2" width="21" bestFit="1" customWidth="1"/>
    <col min="3" max="3" width="17" bestFit="1" customWidth="1"/>
    <col min="4" max="4" width="20.28515625" bestFit="1" customWidth="1"/>
    <col min="5" max="5" width="15.42578125" bestFit="1" customWidth="1"/>
    <col min="6" max="6" width="13.5703125" bestFit="1" customWidth="1"/>
    <col min="7" max="7" width="18.85546875" bestFit="1" customWidth="1"/>
    <col min="8" max="8" width="12.140625" bestFit="1" customWidth="1"/>
    <col min="9" max="9" width="11.42578125" bestFit="1" customWidth="1"/>
    <col min="10" max="10" width="14.28515625" bestFit="1" customWidth="1"/>
    <col min="11" max="11" width="13.5703125" bestFit="1" customWidth="1"/>
    <col min="12" max="13" width="13.85546875" bestFit="1" customWidth="1"/>
  </cols>
  <sheetData>
    <row r="1" spans="1:13" ht="22.5" customHeight="1" x14ac:dyDescent="0.2">
      <c r="A1" s="27" t="s">
        <v>28</v>
      </c>
      <c r="B1" s="28" t="s">
        <v>29</v>
      </c>
      <c r="C1" s="27" t="s">
        <v>17</v>
      </c>
      <c r="D1" s="27" t="s">
        <v>30</v>
      </c>
      <c r="E1" s="28" t="s">
        <v>31</v>
      </c>
      <c r="F1" s="28" t="s">
        <v>19</v>
      </c>
      <c r="G1" s="29" t="s">
        <v>32</v>
      </c>
      <c r="H1" s="29" t="s">
        <v>33</v>
      </c>
      <c r="I1" s="29" t="s">
        <v>34</v>
      </c>
      <c r="J1" s="28" t="s">
        <v>35</v>
      </c>
      <c r="K1" s="27" t="s">
        <v>36</v>
      </c>
      <c r="L1" s="27" t="s">
        <v>37</v>
      </c>
      <c r="M1" s="27" t="s">
        <v>38</v>
      </c>
    </row>
    <row r="2" spans="1:13" ht="22.5" customHeight="1" x14ac:dyDescent="0.2">
      <c r="A2" s="19">
        <v>45969</v>
      </c>
      <c r="B2" s="20">
        <v>3.3217592592592591E-3</v>
      </c>
      <c r="C2" s="21" t="s">
        <v>21</v>
      </c>
      <c r="D2" s="21" t="s">
        <v>39</v>
      </c>
      <c r="E2" s="21" t="s">
        <v>40</v>
      </c>
      <c r="F2" s="21" t="str">
        <f t="shared" ref="F2:F56" si="0">IF(G2=0,"Free Gear",IF(G2&gt;=30000,"High Gear",IF(G2&lt;30000,"Low Gear","")))</f>
        <v>Free Gear</v>
      </c>
      <c r="G2" s="22">
        <v>0</v>
      </c>
      <c r="H2" s="22">
        <v>9795</v>
      </c>
      <c r="I2" s="22">
        <f t="shared" ref="I2:I56" si="1">IF(AND(G2&lt;&gt;"",H2&lt;&gt;""),G2+H2,"")</f>
        <v>9795</v>
      </c>
      <c r="J2" s="23">
        <f t="shared" ref="J2:J56" si="2">IF(G2=0,IF(H2&gt;0,1,0),H2/G2)</f>
        <v>1</v>
      </c>
      <c r="K2" s="21" t="s">
        <v>41</v>
      </c>
      <c r="L2" s="21" t="s">
        <v>42</v>
      </c>
      <c r="M2" s="21">
        <f>IF(Stats[[#This Row],[Survived (Y/N)]]="","",IF(Stats[[#This Row],[Survived (Y/N)]]="Y",1,0))</f>
        <v>1</v>
      </c>
    </row>
    <row r="3" spans="1:13" ht="22.5" customHeight="1" x14ac:dyDescent="0.2">
      <c r="A3" s="19">
        <v>45969</v>
      </c>
      <c r="B3" s="20">
        <v>1.6435185185185185E-2</v>
      </c>
      <c r="C3" s="21" t="s">
        <v>21</v>
      </c>
      <c r="D3" s="21" t="s">
        <v>39</v>
      </c>
      <c r="E3" s="21" t="s">
        <v>40</v>
      </c>
      <c r="F3" s="21" t="str">
        <f t="shared" si="0"/>
        <v>Low Gear</v>
      </c>
      <c r="G3" s="22">
        <v>13020</v>
      </c>
      <c r="H3" s="22">
        <v>18948</v>
      </c>
      <c r="I3" s="22">
        <f t="shared" si="1"/>
        <v>31968</v>
      </c>
      <c r="J3" s="23">
        <f t="shared" si="2"/>
        <v>1.4552995391705068</v>
      </c>
      <c r="K3" s="21" t="s">
        <v>43</v>
      </c>
      <c r="L3" s="21" t="s">
        <v>42</v>
      </c>
      <c r="M3" s="21">
        <f>IF(Stats[[#This Row],[Survived (Y/N)]]="","",IF(Stats[[#This Row],[Survived (Y/N)]]="Y",1,0))</f>
        <v>1</v>
      </c>
    </row>
    <row r="4" spans="1:13" ht="22.5" customHeight="1" x14ac:dyDescent="0.2">
      <c r="A4" s="19">
        <v>45969</v>
      </c>
      <c r="B4" s="20">
        <v>1.2939814814814815E-2</v>
      </c>
      <c r="C4" s="21" t="s">
        <v>21</v>
      </c>
      <c r="D4" s="21" t="s">
        <v>39</v>
      </c>
      <c r="E4" s="21" t="s">
        <v>40</v>
      </c>
      <c r="F4" s="21" t="str">
        <f t="shared" si="0"/>
        <v>Low Gear</v>
      </c>
      <c r="G4" s="22">
        <v>19985</v>
      </c>
      <c r="H4" s="22">
        <v>13686</v>
      </c>
      <c r="I4" s="22">
        <f t="shared" si="1"/>
        <v>33671</v>
      </c>
      <c r="J4" s="23">
        <f t="shared" si="2"/>
        <v>0.68481361020765574</v>
      </c>
      <c r="K4" s="21" t="s">
        <v>41</v>
      </c>
      <c r="L4" s="21" t="s">
        <v>42</v>
      </c>
      <c r="M4" s="21">
        <f>IF(Stats[[#This Row],[Survived (Y/N)]]="","",IF(Stats[[#This Row],[Survived (Y/N)]]="Y",1,0))</f>
        <v>1</v>
      </c>
    </row>
    <row r="5" spans="1:13" ht="22.5" customHeight="1" x14ac:dyDescent="0.2">
      <c r="A5" s="19">
        <v>45969</v>
      </c>
      <c r="B5" s="20">
        <v>1.7476851851851851E-2</v>
      </c>
      <c r="C5" s="21" t="s">
        <v>23</v>
      </c>
      <c r="D5" s="21" t="s">
        <v>39</v>
      </c>
      <c r="E5" s="21" t="s">
        <v>40</v>
      </c>
      <c r="F5" s="21" t="str">
        <f t="shared" si="0"/>
        <v>Free Gear</v>
      </c>
      <c r="G5" s="22">
        <v>0</v>
      </c>
      <c r="H5" s="22">
        <v>38219</v>
      </c>
      <c r="I5" s="22">
        <f t="shared" si="1"/>
        <v>38219</v>
      </c>
      <c r="J5" s="23">
        <f t="shared" si="2"/>
        <v>1</v>
      </c>
      <c r="K5" s="21" t="s">
        <v>43</v>
      </c>
      <c r="L5" s="21" t="s">
        <v>42</v>
      </c>
      <c r="M5" s="21">
        <f>IF(Stats[[#This Row],[Survived (Y/N)]]="","",IF(Stats[[#This Row],[Survived (Y/N)]]="Y",1,0))</f>
        <v>1</v>
      </c>
    </row>
    <row r="6" spans="1:13" ht="22.5" customHeight="1" x14ac:dyDescent="0.2">
      <c r="A6" s="19">
        <v>45969</v>
      </c>
      <c r="B6" s="20">
        <v>2.0613425925925927E-2</v>
      </c>
      <c r="C6" s="21" t="s">
        <v>23</v>
      </c>
      <c r="D6" s="21" t="s">
        <v>44</v>
      </c>
      <c r="E6" s="21" t="s">
        <v>40</v>
      </c>
      <c r="F6" s="21" t="str">
        <f t="shared" si="0"/>
        <v>Low Gear</v>
      </c>
      <c r="G6" s="22">
        <v>20320</v>
      </c>
      <c r="H6" s="22">
        <v>-15860</v>
      </c>
      <c r="I6" s="22">
        <f t="shared" si="1"/>
        <v>4460</v>
      </c>
      <c r="J6" s="23">
        <f t="shared" si="2"/>
        <v>-0.78051181102362199</v>
      </c>
      <c r="K6" s="21" t="s">
        <v>41</v>
      </c>
      <c r="L6" s="21" t="s">
        <v>40</v>
      </c>
      <c r="M6" s="21">
        <f>IF(Stats[[#This Row],[Survived (Y/N)]]="","",IF(Stats[[#This Row],[Survived (Y/N)]]="Y",1,0))</f>
        <v>0</v>
      </c>
    </row>
    <row r="7" spans="1:13" ht="22.5" customHeight="1" x14ac:dyDescent="0.2">
      <c r="A7" s="19">
        <v>45969</v>
      </c>
      <c r="B7" s="20">
        <v>1.480324074074074E-2</v>
      </c>
      <c r="C7" s="21" t="s">
        <v>23</v>
      </c>
      <c r="D7" s="21" t="s">
        <v>39</v>
      </c>
      <c r="E7" s="21" t="s">
        <v>40</v>
      </c>
      <c r="F7" s="21" t="str">
        <f t="shared" si="0"/>
        <v>Low Gear</v>
      </c>
      <c r="G7" s="22">
        <v>24413</v>
      </c>
      <c r="H7" s="22">
        <v>30526</v>
      </c>
      <c r="I7" s="22">
        <f t="shared" si="1"/>
        <v>54939</v>
      </c>
      <c r="J7" s="23">
        <f t="shared" si="2"/>
        <v>1.2503993773809037</v>
      </c>
      <c r="K7" s="21" t="s">
        <v>41</v>
      </c>
      <c r="L7" s="21" t="s">
        <v>42</v>
      </c>
      <c r="M7" s="21">
        <f>IF(Stats[[#This Row],[Survived (Y/N)]]="","",IF(Stats[[#This Row],[Survived (Y/N)]]="Y",1,0))</f>
        <v>1</v>
      </c>
    </row>
    <row r="8" spans="1:13" ht="22.5" customHeight="1" x14ac:dyDescent="0.2">
      <c r="A8" s="19">
        <v>45969</v>
      </c>
      <c r="B8" s="20">
        <v>1.7372685185185185E-2</v>
      </c>
      <c r="C8" s="21" t="s">
        <v>25</v>
      </c>
      <c r="D8" s="21" t="s">
        <v>45</v>
      </c>
      <c r="E8" s="21" t="s">
        <v>40</v>
      </c>
      <c r="F8" s="21" t="str">
        <f t="shared" si="0"/>
        <v>Free Gear</v>
      </c>
      <c r="G8" s="22">
        <v>0</v>
      </c>
      <c r="H8" s="22">
        <v>0</v>
      </c>
      <c r="I8" s="22">
        <f t="shared" si="1"/>
        <v>0</v>
      </c>
      <c r="J8" s="23">
        <f t="shared" si="2"/>
        <v>0</v>
      </c>
      <c r="K8" s="21" t="s">
        <v>41</v>
      </c>
      <c r="L8" s="21" t="s">
        <v>40</v>
      </c>
      <c r="M8" s="21">
        <f>IF(Stats[[#This Row],[Survived (Y/N)]]="","",IF(Stats[[#This Row],[Survived (Y/N)]]="Y",1,0))</f>
        <v>0</v>
      </c>
    </row>
    <row r="9" spans="1:13" ht="22.5" customHeight="1" x14ac:dyDescent="0.2">
      <c r="A9" s="19">
        <v>45969</v>
      </c>
      <c r="B9" s="20">
        <v>6.2731481481481484E-3</v>
      </c>
      <c r="C9" s="21" t="s">
        <v>25</v>
      </c>
      <c r="D9" s="21" t="s">
        <v>45</v>
      </c>
      <c r="E9" s="21" t="s">
        <v>40</v>
      </c>
      <c r="F9" s="21" t="str">
        <f t="shared" si="0"/>
        <v>Low Gear</v>
      </c>
      <c r="G9" s="22">
        <v>25354</v>
      </c>
      <c r="H9" s="22">
        <v>-24282</v>
      </c>
      <c r="I9" s="22">
        <f t="shared" si="1"/>
        <v>1072</v>
      </c>
      <c r="J9" s="23">
        <f t="shared" si="2"/>
        <v>-0.95771870316320895</v>
      </c>
      <c r="K9" s="21" t="s">
        <v>41</v>
      </c>
      <c r="L9" s="21" t="s">
        <v>40</v>
      </c>
      <c r="M9" s="21">
        <f>IF(Stats[[#This Row],[Survived (Y/N)]]="","",IF(Stats[[#This Row],[Survived (Y/N)]]="Y",1,0))</f>
        <v>0</v>
      </c>
    </row>
    <row r="10" spans="1:13" ht="22.5" customHeight="1" x14ac:dyDescent="0.2">
      <c r="A10" s="19">
        <v>45969</v>
      </c>
      <c r="B10" s="20">
        <v>1.8912037037037036E-2</v>
      </c>
      <c r="C10" s="21" t="s">
        <v>25</v>
      </c>
      <c r="D10" s="21" t="s">
        <v>39</v>
      </c>
      <c r="E10" s="21" t="s">
        <v>40</v>
      </c>
      <c r="F10" s="21" t="str">
        <f t="shared" si="0"/>
        <v>High Gear</v>
      </c>
      <c r="G10" s="22">
        <v>34903</v>
      </c>
      <c r="H10" s="22">
        <v>20320</v>
      </c>
      <c r="I10" s="22">
        <f t="shared" si="1"/>
        <v>55223</v>
      </c>
      <c r="J10" s="23">
        <f t="shared" si="2"/>
        <v>0.58218491247170734</v>
      </c>
      <c r="K10" s="21" t="s">
        <v>41</v>
      </c>
      <c r="L10" s="21" t="s">
        <v>42</v>
      </c>
      <c r="M10" s="21">
        <f>IF(Stats[[#This Row],[Survived (Y/N)]]="","",IF(Stats[[#This Row],[Survived (Y/N)]]="Y",1,0))</f>
        <v>1</v>
      </c>
    </row>
    <row r="11" spans="1:13" ht="22.5" customHeight="1" x14ac:dyDescent="0.2">
      <c r="A11" s="19">
        <v>45969</v>
      </c>
      <c r="B11" s="20">
        <v>1.3148148148148148E-2</v>
      </c>
      <c r="C11" s="21" t="s">
        <v>27</v>
      </c>
      <c r="D11" s="21" t="s">
        <v>44</v>
      </c>
      <c r="E11" s="21" t="s">
        <v>40</v>
      </c>
      <c r="F11" s="21" t="str">
        <f t="shared" si="0"/>
        <v>Low Gear</v>
      </c>
      <c r="G11" s="22">
        <v>15840</v>
      </c>
      <c r="H11" s="22">
        <v>15141</v>
      </c>
      <c r="I11" s="22">
        <f t="shared" si="1"/>
        <v>30981</v>
      </c>
      <c r="J11" s="23">
        <f t="shared" si="2"/>
        <v>0.95587121212121207</v>
      </c>
      <c r="K11" s="21" t="s">
        <v>43</v>
      </c>
      <c r="L11" s="21" t="s">
        <v>42</v>
      </c>
      <c r="M11" s="21">
        <f>IF(Stats[[#This Row],[Survived (Y/N)]]="","",IF(Stats[[#This Row],[Survived (Y/N)]]="Y",1,0))</f>
        <v>1</v>
      </c>
    </row>
    <row r="12" spans="1:13" ht="22.5" customHeight="1" x14ac:dyDescent="0.2">
      <c r="A12" s="19">
        <v>45969</v>
      </c>
      <c r="B12" s="20">
        <v>6.8634259259259256E-3</v>
      </c>
      <c r="C12" s="21" t="s">
        <v>25</v>
      </c>
      <c r="D12" s="21" t="s">
        <v>45</v>
      </c>
      <c r="E12" s="21" t="s">
        <v>40</v>
      </c>
      <c r="F12" s="21" t="str">
        <f t="shared" si="0"/>
        <v>Low Gear</v>
      </c>
      <c r="G12" s="22">
        <v>29585</v>
      </c>
      <c r="H12" s="22">
        <v>-30393</v>
      </c>
      <c r="I12" s="22">
        <f t="shared" si="1"/>
        <v>-808</v>
      </c>
      <c r="J12" s="23">
        <f t="shared" si="2"/>
        <v>-1.0273111374007098</v>
      </c>
      <c r="K12" s="21" t="s">
        <v>46</v>
      </c>
      <c r="L12" s="21" t="s">
        <v>40</v>
      </c>
      <c r="M12" s="21">
        <f>IF(Stats[[#This Row],[Survived (Y/N)]]="","",IF(Stats[[#This Row],[Survived (Y/N)]]="Y",1,0))</f>
        <v>0</v>
      </c>
    </row>
    <row r="13" spans="1:13" ht="22.5" customHeight="1" x14ac:dyDescent="0.2">
      <c r="A13" s="19">
        <v>45969</v>
      </c>
      <c r="B13" s="20">
        <v>1.8773148148148146E-2</v>
      </c>
      <c r="C13" s="21" t="s">
        <v>25</v>
      </c>
      <c r="D13" s="21" t="s">
        <v>45</v>
      </c>
      <c r="E13" s="21" t="s">
        <v>42</v>
      </c>
      <c r="F13" s="21" t="str">
        <f t="shared" si="0"/>
        <v>High Gear</v>
      </c>
      <c r="G13" s="22">
        <v>56687</v>
      </c>
      <c r="H13" s="22">
        <v>21571</v>
      </c>
      <c r="I13" s="22">
        <f t="shared" si="1"/>
        <v>78258</v>
      </c>
      <c r="J13" s="23">
        <f t="shared" si="2"/>
        <v>0.38052816342371265</v>
      </c>
      <c r="K13" s="21" t="s">
        <v>46</v>
      </c>
      <c r="L13" s="21" t="s">
        <v>42</v>
      </c>
      <c r="M13" s="21">
        <f>IF(Stats[[#This Row],[Survived (Y/N)]]="","",IF(Stats[[#This Row],[Survived (Y/N)]]="Y",1,0))</f>
        <v>1</v>
      </c>
    </row>
    <row r="14" spans="1:13" ht="22.5" customHeight="1" x14ac:dyDescent="0.2">
      <c r="A14" s="19">
        <v>45969</v>
      </c>
      <c r="B14" s="20">
        <v>1.2800925925925926E-2</v>
      </c>
      <c r="C14" s="21" t="s">
        <v>25</v>
      </c>
      <c r="D14" s="21" t="s">
        <v>47</v>
      </c>
      <c r="E14" s="21" t="s">
        <v>40</v>
      </c>
      <c r="F14" s="21" t="str">
        <f t="shared" si="0"/>
        <v>High Gear</v>
      </c>
      <c r="G14" s="22">
        <v>58774</v>
      </c>
      <c r="H14" s="22">
        <v>-57670</v>
      </c>
      <c r="I14" s="22">
        <f t="shared" si="1"/>
        <v>1104</v>
      </c>
      <c r="J14" s="23">
        <f t="shared" si="2"/>
        <v>-0.98121618402695066</v>
      </c>
      <c r="K14" s="21" t="s">
        <v>46</v>
      </c>
      <c r="L14" s="21" t="s">
        <v>40</v>
      </c>
      <c r="M14" s="21">
        <f>IF(Stats[[#This Row],[Survived (Y/N)]]="","",IF(Stats[[#This Row],[Survived (Y/N)]]="Y",1,0))</f>
        <v>0</v>
      </c>
    </row>
    <row r="15" spans="1:13" ht="22.5" customHeight="1" x14ac:dyDescent="0.2">
      <c r="A15" s="19">
        <v>45969</v>
      </c>
      <c r="B15" s="20">
        <v>4.6643518518518518E-3</v>
      </c>
      <c r="C15" s="21" t="s">
        <v>23</v>
      </c>
      <c r="D15" s="21" t="s">
        <v>44</v>
      </c>
      <c r="E15" s="21" t="s">
        <v>40</v>
      </c>
      <c r="F15" s="21" t="str">
        <f t="shared" si="0"/>
        <v>Free Gear</v>
      </c>
      <c r="G15" s="22">
        <v>0</v>
      </c>
      <c r="H15" s="22">
        <v>0</v>
      </c>
      <c r="I15" s="22">
        <f t="shared" si="1"/>
        <v>0</v>
      </c>
      <c r="J15" s="23">
        <f t="shared" si="2"/>
        <v>0</v>
      </c>
      <c r="K15" s="21" t="s">
        <v>46</v>
      </c>
      <c r="L15" s="21" t="s">
        <v>40</v>
      </c>
      <c r="M15" s="21">
        <f>IF(Stats[[#This Row],[Survived (Y/N)]]="","",IF(Stats[[#This Row],[Survived (Y/N)]]="Y",1,0))</f>
        <v>0</v>
      </c>
    </row>
    <row r="16" spans="1:13" ht="22.5" customHeight="1" x14ac:dyDescent="0.2">
      <c r="A16" s="19">
        <v>45970</v>
      </c>
      <c r="B16" s="20">
        <v>6.9675925925925929E-3</v>
      </c>
      <c r="C16" s="21" t="s">
        <v>23</v>
      </c>
      <c r="D16" s="21" t="s">
        <v>48</v>
      </c>
      <c r="E16" s="21" t="s">
        <v>40</v>
      </c>
      <c r="F16" s="21" t="str">
        <f t="shared" si="0"/>
        <v>Free Gear</v>
      </c>
      <c r="G16" s="22">
        <v>0</v>
      </c>
      <c r="H16" s="22">
        <v>0</v>
      </c>
      <c r="I16" s="22">
        <f t="shared" si="1"/>
        <v>0</v>
      </c>
      <c r="J16" s="23">
        <f t="shared" si="2"/>
        <v>0</v>
      </c>
      <c r="K16" s="21" t="s">
        <v>46</v>
      </c>
      <c r="L16" s="21" t="s">
        <v>40</v>
      </c>
      <c r="M16" s="21">
        <f>IF(Stats[[#This Row],[Survived (Y/N)]]="","",IF(Stats[[#This Row],[Survived (Y/N)]]="Y",1,0))</f>
        <v>0</v>
      </c>
    </row>
    <row r="17" spans="1:13" ht="22.5" customHeight="1" x14ac:dyDescent="0.2">
      <c r="A17" s="19">
        <v>45970</v>
      </c>
      <c r="B17" s="20">
        <v>2.011574074074074E-2</v>
      </c>
      <c r="C17" s="21" t="s">
        <v>23</v>
      </c>
      <c r="D17" s="21" t="s">
        <v>48</v>
      </c>
      <c r="E17" s="21" t="s">
        <v>42</v>
      </c>
      <c r="F17" s="21" t="str">
        <f t="shared" si="0"/>
        <v>Free Gear</v>
      </c>
      <c r="G17" s="22">
        <v>0</v>
      </c>
      <c r="H17" s="22">
        <v>41829</v>
      </c>
      <c r="I17" s="22">
        <f t="shared" si="1"/>
        <v>41829</v>
      </c>
      <c r="J17" s="23">
        <f t="shared" si="2"/>
        <v>1</v>
      </c>
      <c r="K17" s="21" t="s">
        <v>46</v>
      </c>
      <c r="L17" s="21" t="s">
        <v>42</v>
      </c>
      <c r="M17" s="21">
        <f>IF(Stats[[#This Row],[Survived (Y/N)]]="","",IF(Stats[[#This Row],[Survived (Y/N)]]="Y",1,0))</f>
        <v>1</v>
      </c>
    </row>
    <row r="18" spans="1:13" ht="22.5" customHeight="1" x14ac:dyDescent="0.2">
      <c r="A18" s="19">
        <v>45970</v>
      </c>
      <c r="B18" s="20">
        <v>1.4363425925925925E-2</v>
      </c>
      <c r="C18" s="21" t="s">
        <v>27</v>
      </c>
      <c r="D18" s="21" t="s">
        <v>48</v>
      </c>
      <c r="E18" s="21" t="s">
        <v>42</v>
      </c>
      <c r="F18" s="21" t="str">
        <f t="shared" si="0"/>
        <v>Low Gear</v>
      </c>
      <c r="G18" s="22">
        <v>23037</v>
      </c>
      <c r="H18" s="22">
        <v>24099</v>
      </c>
      <c r="I18" s="22">
        <f t="shared" si="1"/>
        <v>47136</v>
      </c>
      <c r="J18" s="23">
        <f t="shared" si="2"/>
        <v>1.0460997525719495</v>
      </c>
      <c r="K18" s="21" t="s">
        <v>43</v>
      </c>
      <c r="L18" s="21" t="s">
        <v>42</v>
      </c>
      <c r="M18" s="21">
        <f>IF(Stats[[#This Row],[Survived (Y/N)]]="","",IF(Stats[[#This Row],[Survived (Y/N)]]="Y",1,0))</f>
        <v>1</v>
      </c>
    </row>
    <row r="19" spans="1:13" ht="22.5" customHeight="1" x14ac:dyDescent="0.2">
      <c r="A19" s="19">
        <v>45970</v>
      </c>
      <c r="B19" s="20">
        <v>2.7893518518518519E-3</v>
      </c>
      <c r="C19" s="21" t="s">
        <v>21</v>
      </c>
      <c r="D19" s="21" t="s">
        <v>39</v>
      </c>
      <c r="E19" s="21" t="s">
        <v>40</v>
      </c>
      <c r="F19" s="21" t="str">
        <f t="shared" si="0"/>
        <v>Low Gear</v>
      </c>
      <c r="G19" s="22">
        <v>21163</v>
      </c>
      <c r="H19" s="22">
        <v>-21891</v>
      </c>
      <c r="I19" s="22">
        <f t="shared" si="1"/>
        <v>-728</v>
      </c>
      <c r="J19" s="23">
        <f t="shared" si="2"/>
        <v>-1.0343996597835845</v>
      </c>
      <c r="K19" s="21" t="s">
        <v>43</v>
      </c>
      <c r="L19" s="21" t="s">
        <v>40</v>
      </c>
      <c r="M19" s="21">
        <f>IF(Stats[[#This Row],[Survived (Y/N)]]="","",IF(Stats[[#This Row],[Survived (Y/N)]]="Y",1,0))</f>
        <v>0</v>
      </c>
    </row>
    <row r="20" spans="1:13" ht="22.5" customHeight="1" x14ac:dyDescent="0.2">
      <c r="A20" s="19">
        <v>45970</v>
      </c>
      <c r="B20" s="20">
        <v>2.5925925925925925E-3</v>
      </c>
      <c r="C20" s="21" t="s">
        <v>21</v>
      </c>
      <c r="D20" s="21" t="s">
        <v>39</v>
      </c>
      <c r="E20" s="21" t="s">
        <v>40</v>
      </c>
      <c r="F20" s="21" t="str">
        <f t="shared" si="0"/>
        <v>Free Gear</v>
      </c>
      <c r="G20" s="22">
        <v>0</v>
      </c>
      <c r="H20" s="22">
        <v>0</v>
      </c>
      <c r="I20" s="22">
        <f t="shared" si="1"/>
        <v>0</v>
      </c>
      <c r="J20" s="23">
        <f t="shared" si="2"/>
        <v>0</v>
      </c>
      <c r="K20" s="21" t="s">
        <v>43</v>
      </c>
      <c r="L20" s="21" t="s">
        <v>40</v>
      </c>
      <c r="M20" s="21">
        <f>IF(Stats[[#This Row],[Survived (Y/N)]]="","",IF(Stats[[#This Row],[Survived (Y/N)]]="Y",1,0))</f>
        <v>0</v>
      </c>
    </row>
    <row r="21" spans="1:13" ht="22.5" customHeight="1" x14ac:dyDescent="0.2">
      <c r="A21" s="19">
        <v>45970</v>
      </c>
      <c r="B21" s="20">
        <v>9.9768518518518513E-3</v>
      </c>
      <c r="C21" s="21" t="s">
        <v>21</v>
      </c>
      <c r="D21" s="21" t="s">
        <v>39</v>
      </c>
      <c r="E21" s="21" t="s">
        <v>40</v>
      </c>
      <c r="F21" s="21" t="str">
        <f t="shared" si="0"/>
        <v>Free Gear</v>
      </c>
      <c r="G21" s="22">
        <v>0</v>
      </c>
      <c r="H21" s="22">
        <v>19673</v>
      </c>
      <c r="I21" s="22">
        <f t="shared" si="1"/>
        <v>19673</v>
      </c>
      <c r="J21" s="23">
        <f t="shared" si="2"/>
        <v>1</v>
      </c>
      <c r="K21" s="21" t="s">
        <v>43</v>
      </c>
      <c r="L21" s="21" t="s">
        <v>42</v>
      </c>
      <c r="M21" s="21">
        <f>IF(Stats[[#This Row],[Survived (Y/N)]]="","",IF(Stats[[#This Row],[Survived (Y/N)]]="Y",1,0))</f>
        <v>1</v>
      </c>
    </row>
    <row r="22" spans="1:13" ht="22.5" customHeight="1" x14ac:dyDescent="0.2">
      <c r="A22" s="19">
        <v>45970</v>
      </c>
      <c r="B22" s="20">
        <v>1.7777777777777778E-2</v>
      </c>
      <c r="C22" s="21" t="s">
        <v>25</v>
      </c>
      <c r="D22" s="21" t="s">
        <v>39</v>
      </c>
      <c r="E22" s="21" t="s">
        <v>40</v>
      </c>
      <c r="F22" s="21" t="str">
        <f t="shared" si="0"/>
        <v>Low Gear</v>
      </c>
      <c r="G22" s="22">
        <v>20300</v>
      </c>
      <c r="H22" s="22">
        <v>29574</v>
      </c>
      <c r="I22" s="22">
        <f t="shared" si="1"/>
        <v>49874</v>
      </c>
      <c r="J22" s="23">
        <f t="shared" si="2"/>
        <v>1.4568472906403942</v>
      </c>
      <c r="K22" s="21" t="s">
        <v>43</v>
      </c>
      <c r="L22" s="21" t="s">
        <v>42</v>
      </c>
      <c r="M22" s="21">
        <f>IF(Stats[[#This Row],[Survived (Y/N)]]="","",IF(Stats[[#This Row],[Survived (Y/N)]]="Y",1,0))</f>
        <v>1</v>
      </c>
    </row>
    <row r="23" spans="1:13" ht="22.5" customHeight="1" x14ac:dyDescent="0.2">
      <c r="A23" s="19">
        <v>45970</v>
      </c>
      <c r="B23" s="20">
        <v>7.2106481481481483E-3</v>
      </c>
      <c r="C23" s="21" t="s">
        <v>23</v>
      </c>
      <c r="D23" s="21" t="s">
        <v>48</v>
      </c>
      <c r="E23" s="21" t="s">
        <v>42</v>
      </c>
      <c r="F23" s="21" t="str">
        <f t="shared" si="0"/>
        <v>Free Gear</v>
      </c>
      <c r="G23" s="22">
        <v>0</v>
      </c>
      <c r="H23" s="22">
        <v>0</v>
      </c>
      <c r="I23" s="22">
        <f t="shared" si="1"/>
        <v>0</v>
      </c>
      <c r="J23" s="23">
        <f t="shared" si="2"/>
        <v>0</v>
      </c>
      <c r="K23" s="21" t="s">
        <v>41</v>
      </c>
      <c r="L23" s="21" t="s">
        <v>40</v>
      </c>
      <c r="M23" s="21">
        <f>IF(Stats[[#This Row],[Survived (Y/N)]]="","",IF(Stats[[#This Row],[Survived (Y/N)]]="Y",1,0))</f>
        <v>0</v>
      </c>
    </row>
    <row r="24" spans="1:13" ht="22.5" customHeight="1" x14ac:dyDescent="0.2">
      <c r="A24" s="19">
        <v>45970</v>
      </c>
      <c r="B24" s="20">
        <v>1.1597222222222222E-2</v>
      </c>
      <c r="C24" s="21" t="s">
        <v>25</v>
      </c>
      <c r="D24" s="21" t="s">
        <v>44</v>
      </c>
      <c r="E24" s="21" t="s">
        <v>40</v>
      </c>
      <c r="F24" s="21" t="str">
        <f t="shared" si="0"/>
        <v>Free Gear</v>
      </c>
      <c r="G24" s="22">
        <v>0</v>
      </c>
      <c r="H24" s="22">
        <v>12070</v>
      </c>
      <c r="I24" s="22">
        <f t="shared" si="1"/>
        <v>12070</v>
      </c>
      <c r="J24" s="23">
        <f t="shared" si="2"/>
        <v>1</v>
      </c>
      <c r="K24" s="21" t="s">
        <v>46</v>
      </c>
      <c r="L24" s="21" t="s">
        <v>42</v>
      </c>
      <c r="M24" s="21">
        <f>IF(Stats[[#This Row],[Survived (Y/N)]]="","",IF(Stats[[#This Row],[Survived (Y/N)]]="Y",1,0))</f>
        <v>1</v>
      </c>
    </row>
    <row r="25" spans="1:13" ht="22.5" customHeight="1" x14ac:dyDescent="0.2">
      <c r="A25" s="19">
        <v>45970</v>
      </c>
      <c r="B25" s="20">
        <v>9.9305555555555553E-3</v>
      </c>
      <c r="C25" s="21" t="s">
        <v>23</v>
      </c>
      <c r="D25" s="21" t="s">
        <v>39</v>
      </c>
      <c r="E25" s="21" t="s">
        <v>40</v>
      </c>
      <c r="F25" s="21" t="str">
        <f t="shared" si="0"/>
        <v>Low Gear</v>
      </c>
      <c r="G25" s="22">
        <v>23029</v>
      </c>
      <c r="H25" s="22">
        <v>21374</v>
      </c>
      <c r="I25" s="22">
        <f t="shared" si="1"/>
        <v>44403</v>
      </c>
      <c r="J25" s="23">
        <f t="shared" si="2"/>
        <v>0.92813409179729911</v>
      </c>
      <c r="K25" s="21" t="s">
        <v>46</v>
      </c>
      <c r="L25" s="21" t="s">
        <v>42</v>
      </c>
      <c r="M25" s="21">
        <f>IF(Stats[[#This Row],[Survived (Y/N)]]="","",IF(Stats[[#This Row],[Survived (Y/N)]]="Y",1,0))</f>
        <v>1</v>
      </c>
    </row>
    <row r="26" spans="1:13" ht="22.5" customHeight="1" x14ac:dyDescent="0.2">
      <c r="A26" s="19">
        <v>45970</v>
      </c>
      <c r="B26" s="20">
        <v>7.2800925925925923E-3</v>
      </c>
      <c r="C26" s="21" t="s">
        <v>25</v>
      </c>
      <c r="D26" s="21" t="s">
        <v>49</v>
      </c>
      <c r="E26" s="21" t="s">
        <v>40</v>
      </c>
      <c r="F26" s="21" t="str">
        <f t="shared" si="0"/>
        <v>Low Gear</v>
      </c>
      <c r="G26" s="22">
        <v>20226</v>
      </c>
      <c r="H26" s="22">
        <v>10412</v>
      </c>
      <c r="I26" s="22">
        <f t="shared" si="1"/>
        <v>30638</v>
      </c>
      <c r="J26" s="23">
        <f t="shared" si="2"/>
        <v>0.514782952635222</v>
      </c>
      <c r="K26" s="21" t="s">
        <v>46</v>
      </c>
      <c r="L26" s="21" t="s">
        <v>42</v>
      </c>
      <c r="M26" s="21">
        <f>IF(Stats[[#This Row],[Survived (Y/N)]]="","",IF(Stats[[#This Row],[Survived (Y/N)]]="Y",1,0))</f>
        <v>1</v>
      </c>
    </row>
    <row r="27" spans="1:13" ht="22.5" customHeight="1" x14ac:dyDescent="0.2">
      <c r="A27" s="19">
        <v>45971</v>
      </c>
      <c r="B27" s="20">
        <v>1.7164351851851851E-2</v>
      </c>
      <c r="C27" s="21" t="s">
        <v>23</v>
      </c>
      <c r="D27" s="21" t="s">
        <v>48</v>
      </c>
      <c r="E27" s="21" t="s">
        <v>42</v>
      </c>
      <c r="F27" s="21" t="str">
        <f t="shared" si="0"/>
        <v>Low Gear</v>
      </c>
      <c r="G27" s="22">
        <v>20091</v>
      </c>
      <c r="H27" s="22">
        <v>17823</v>
      </c>
      <c r="I27" s="22">
        <f t="shared" si="1"/>
        <v>37914</v>
      </c>
      <c r="J27" s="23">
        <f t="shared" si="2"/>
        <v>0.88711363296998658</v>
      </c>
      <c r="K27" s="21" t="s">
        <v>43</v>
      </c>
      <c r="L27" s="21" t="s">
        <v>42</v>
      </c>
      <c r="M27" s="21">
        <f>IF(Stats[[#This Row],[Survived (Y/N)]]="","",IF(Stats[[#This Row],[Survived (Y/N)]]="Y",1,0))</f>
        <v>1</v>
      </c>
    </row>
    <row r="28" spans="1:13" ht="22.5" customHeight="1" x14ac:dyDescent="0.2">
      <c r="A28" s="19">
        <v>45972</v>
      </c>
      <c r="B28" s="20">
        <v>1.7766203703703704E-2</v>
      </c>
      <c r="C28" s="21" t="s">
        <v>27</v>
      </c>
      <c r="D28" s="21" t="s">
        <v>44</v>
      </c>
      <c r="E28" s="21" t="s">
        <v>40</v>
      </c>
      <c r="F28" s="21" t="str">
        <f t="shared" si="0"/>
        <v>Low Gear</v>
      </c>
      <c r="G28" s="22">
        <v>25929</v>
      </c>
      <c r="H28" s="22">
        <v>16983</v>
      </c>
      <c r="I28" s="22">
        <f t="shared" si="1"/>
        <v>42912</v>
      </c>
      <c r="J28" s="23">
        <f t="shared" si="2"/>
        <v>0.65498090940645615</v>
      </c>
      <c r="K28" s="21" t="s">
        <v>43</v>
      </c>
      <c r="L28" s="21" t="s">
        <v>42</v>
      </c>
      <c r="M28" s="21">
        <f>IF(Stats[[#This Row],[Survived (Y/N)]]="","",IF(Stats[[#This Row],[Survived (Y/N)]]="Y",1,0))</f>
        <v>1</v>
      </c>
    </row>
    <row r="29" spans="1:13" ht="22.5" customHeight="1" x14ac:dyDescent="0.2">
      <c r="A29" s="19">
        <v>45972</v>
      </c>
      <c r="B29" s="20">
        <v>1.4108796296296296E-2</v>
      </c>
      <c r="C29" s="21" t="s">
        <v>23</v>
      </c>
      <c r="D29" s="21" t="s">
        <v>39</v>
      </c>
      <c r="E29" s="21" t="s">
        <v>40</v>
      </c>
      <c r="F29" s="21" t="str">
        <f t="shared" si="0"/>
        <v>Low Gear</v>
      </c>
      <c r="G29" s="22">
        <v>28919</v>
      </c>
      <c r="H29" s="22">
        <v>17448</v>
      </c>
      <c r="I29" s="22">
        <f t="shared" si="1"/>
        <v>46367</v>
      </c>
      <c r="J29" s="23">
        <f t="shared" si="2"/>
        <v>0.60334036446626782</v>
      </c>
      <c r="K29" s="21" t="s">
        <v>41</v>
      </c>
      <c r="L29" s="21" t="s">
        <v>42</v>
      </c>
      <c r="M29" s="21">
        <f>IF(Stats[[#This Row],[Survived (Y/N)]]="","",IF(Stats[[#This Row],[Survived (Y/N)]]="Y",1,0))</f>
        <v>1</v>
      </c>
    </row>
    <row r="30" spans="1:13" ht="22.5" customHeight="1" x14ac:dyDescent="0.2">
      <c r="A30" s="19">
        <v>45972</v>
      </c>
      <c r="B30" s="20">
        <v>8.4837962962962966E-3</v>
      </c>
      <c r="C30" s="21" t="s">
        <v>21</v>
      </c>
      <c r="D30" s="21" t="s">
        <v>39</v>
      </c>
      <c r="E30" s="21" t="s">
        <v>40</v>
      </c>
      <c r="F30" s="21" t="str">
        <f t="shared" si="0"/>
        <v>Low Gear</v>
      </c>
      <c r="G30" s="22">
        <v>27274</v>
      </c>
      <c r="H30" s="22">
        <v>-27710</v>
      </c>
      <c r="I30" s="22">
        <f t="shared" si="1"/>
        <v>-436</v>
      </c>
      <c r="J30" s="23">
        <f t="shared" si="2"/>
        <v>-1.0159859206570361</v>
      </c>
      <c r="K30" s="21" t="s">
        <v>41</v>
      </c>
      <c r="L30" s="21" t="s">
        <v>40</v>
      </c>
      <c r="M30" s="21">
        <f>IF(Stats[[#This Row],[Survived (Y/N)]]="","",IF(Stats[[#This Row],[Survived (Y/N)]]="Y",1,0))</f>
        <v>0</v>
      </c>
    </row>
    <row r="31" spans="1:13" ht="22.5" customHeight="1" x14ac:dyDescent="0.2">
      <c r="A31" s="19">
        <v>45973</v>
      </c>
      <c r="B31" s="20">
        <v>1.3622685185185186E-2</v>
      </c>
      <c r="C31" s="21" t="s">
        <v>23</v>
      </c>
      <c r="D31" s="21" t="s">
        <v>39</v>
      </c>
      <c r="E31" s="21" t="s">
        <v>40</v>
      </c>
      <c r="F31" s="21" t="str">
        <f t="shared" si="0"/>
        <v>High Gear</v>
      </c>
      <c r="G31" s="22">
        <v>31660</v>
      </c>
      <c r="H31" s="22">
        <v>9187</v>
      </c>
      <c r="I31" s="22">
        <f t="shared" si="1"/>
        <v>40847</v>
      </c>
      <c r="J31" s="23">
        <f t="shared" si="2"/>
        <v>0.29017687934301956</v>
      </c>
      <c r="K31" s="21" t="s">
        <v>41</v>
      </c>
      <c r="L31" s="21" t="s">
        <v>42</v>
      </c>
      <c r="M31" s="21">
        <f>IF(Stats[[#This Row],[Survived (Y/N)]]="","",IF(Stats[[#This Row],[Survived (Y/N)]]="Y",1,0))</f>
        <v>1</v>
      </c>
    </row>
    <row r="32" spans="1:13" ht="22.5" customHeight="1" x14ac:dyDescent="0.2">
      <c r="A32" s="19">
        <v>45973</v>
      </c>
      <c r="B32" s="20">
        <v>1.170138888888889E-2</v>
      </c>
      <c r="C32" s="21" t="s">
        <v>21</v>
      </c>
      <c r="D32" s="21" t="s">
        <v>39</v>
      </c>
      <c r="E32" s="21" t="s">
        <v>40</v>
      </c>
      <c r="F32" s="21" t="str">
        <f t="shared" si="0"/>
        <v>Low Gear</v>
      </c>
      <c r="G32" s="22">
        <v>24675</v>
      </c>
      <c r="H32" s="22">
        <v>-24675</v>
      </c>
      <c r="I32" s="22">
        <f t="shared" si="1"/>
        <v>0</v>
      </c>
      <c r="J32" s="23">
        <f t="shared" si="2"/>
        <v>-1</v>
      </c>
      <c r="K32" s="21" t="s">
        <v>41</v>
      </c>
      <c r="L32" s="21" t="s">
        <v>40</v>
      </c>
      <c r="M32" s="21">
        <f>IF(Stats[[#This Row],[Survived (Y/N)]]="","",IF(Stats[[#This Row],[Survived (Y/N)]]="Y",1,0))</f>
        <v>0</v>
      </c>
    </row>
    <row r="33" spans="1:13" ht="22.5" customHeight="1" x14ac:dyDescent="0.2">
      <c r="A33" s="19">
        <v>45973</v>
      </c>
      <c r="B33" s="20">
        <v>1.8819444444444444E-2</v>
      </c>
      <c r="C33" s="21" t="s">
        <v>21</v>
      </c>
      <c r="D33" s="21" t="s">
        <v>39</v>
      </c>
      <c r="E33" s="21" t="s">
        <v>40</v>
      </c>
      <c r="F33" s="21" t="str">
        <f t="shared" si="0"/>
        <v>Low Gear</v>
      </c>
      <c r="G33" s="22">
        <v>18107</v>
      </c>
      <c r="H33" s="22">
        <v>35256</v>
      </c>
      <c r="I33" s="22">
        <f t="shared" si="1"/>
        <v>53363</v>
      </c>
      <c r="J33" s="23">
        <f t="shared" si="2"/>
        <v>1.9470922847517536</v>
      </c>
      <c r="K33" s="21" t="s">
        <v>41</v>
      </c>
      <c r="L33" s="21" t="s">
        <v>42</v>
      </c>
      <c r="M33" s="21">
        <f>IF(Stats[[#This Row],[Survived (Y/N)]]="","",IF(Stats[[#This Row],[Survived (Y/N)]]="Y",1,0))</f>
        <v>1</v>
      </c>
    </row>
    <row r="34" spans="1:13" ht="22.5" customHeight="1" x14ac:dyDescent="0.2">
      <c r="A34" s="19">
        <v>45973</v>
      </c>
      <c r="B34" s="20">
        <v>8.1018518518518514E-3</v>
      </c>
      <c r="C34" s="21" t="s">
        <v>21</v>
      </c>
      <c r="D34" s="21" t="s">
        <v>39</v>
      </c>
      <c r="E34" s="21" t="s">
        <v>40</v>
      </c>
      <c r="F34" s="21" t="str">
        <f t="shared" si="0"/>
        <v>Low Gear</v>
      </c>
      <c r="G34" s="22">
        <v>19157</v>
      </c>
      <c r="H34" s="22">
        <v>27100</v>
      </c>
      <c r="I34" s="22">
        <f t="shared" si="1"/>
        <v>46257</v>
      </c>
      <c r="J34" s="23">
        <f t="shared" si="2"/>
        <v>1.4146265072819335</v>
      </c>
      <c r="K34" s="21" t="s">
        <v>41</v>
      </c>
      <c r="L34" s="21" t="s">
        <v>42</v>
      </c>
      <c r="M34" s="21">
        <f>IF(Stats[[#This Row],[Survived (Y/N)]]="","",IF(Stats[[#This Row],[Survived (Y/N)]]="Y",1,0))</f>
        <v>1</v>
      </c>
    </row>
    <row r="35" spans="1:13" ht="22.5" customHeight="1" x14ac:dyDescent="0.2">
      <c r="A35" s="19">
        <v>45973</v>
      </c>
      <c r="B35" s="20">
        <v>5.208333333333333E-3</v>
      </c>
      <c r="C35" s="21" t="s">
        <v>27</v>
      </c>
      <c r="D35" s="21" t="s">
        <v>39</v>
      </c>
      <c r="E35" s="21" t="s">
        <v>40</v>
      </c>
      <c r="F35" s="21" t="str">
        <f t="shared" si="0"/>
        <v>Low Gear</v>
      </c>
      <c r="G35" s="22">
        <v>18227</v>
      </c>
      <c r="H35" s="22">
        <v>-8155</v>
      </c>
      <c r="I35" s="22">
        <f t="shared" si="1"/>
        <v>10072</v>
      </c>
      <c r="J35" s="23">
        <f t="shared" si="2"/>
        <v>-0.44741317825204369</v>
      </c>
      <c r="K35" s="21" t="s">
        <v>46</v>
      </c>
      <c r="L35" s="21" t="s">
        <v>42</v>
      </c>
      <c r="M35" s="21">
        <f>IF(Stats[[#This Row],[Survived (Y/N)]]="","",IF(Stats[[#This Row],[Survived (Y/N)]]="Y",1,0))</f>
        <v>1</v>
      </c>
    </row>
    <row r="36" spans="1:13" ht="22.5" customHeight="1" x14ac:dyDescent="0.2">
      <c r="A36" s="19">
        <v>45973</v>
      </c>
      <c r="B36" s="20">
        <v>1.3252314814814814E-2</v>
      </c>
      <c r="C36" s="21" t="s">
        <v>23</v>
      </c>
      <c r="D36" s="21" t="s">
        <v>39</v>
      </c>
      <c r="E36" s="21" t="s">
        <v>40</v>
      </c>
      <c r="F36" s="21" t="str">
        <f t="shared" si="0"/>
        <v>Free Gear</v>
      </c>
      <c r="G36" s="22">
        <v>0</v>
      </c>
      <c r="H36" s="22">
        <v>12045</v>
      </c>
      <c r="I36" s="22">
        <f t="shared" si="1"/>
        <v>12045</v>
      </c>
      <c r="J36" s="23">
        <f t="shared" si="2"/>
        <v>1</v>
      </c>
      <c r="K36" s="21" t="s">
        <v>46</v>
      </c>
      <c r="L36" s="21" t="s">
        <v>42</v>
      </c>
      <c r="M36" s="21">
        <f>IF(Stats[[#This Row],[Survived (Y/N)]]="","",IF(Stats[[#This Row],[Survived (Y/N)]]="Y",1,0))</f>
        <v>1</v>
      </c>
    </row>
    <row r="37" spans="1:13" ht="22.5" customHeight="1" x14ac:dyDescent="0.2">
      <c r="A37" s="19">
        <v>45975</v>
      </c>
      <c r="B37" s="20">
        <v>1.0844907407407407E-2</v>
      </c>
      <c r="C37" s="21" t="s">
        <v>23</v>
      </c>
      <c r="D37" s="21" t="s">
        <v>39</v>
      </c>
      <c r="E37" s="21" t="s">
        <v>40</v>
      </c>
      <c r="F37" s="21" t="str">
        <f t="shared" si="0"/>
        <v>Low Gear</v>
      </c>
      <c r="G37" s="22">
        <v>10878</v>
      </c>
      <c r="H37" s="22">
        <v>26653</v>
      </c>
      <c r="I37" s="22">
        <f t="shared" si="1"/>
        <v>37531</v>
      </c>
      <c r="J37" s="23">
        <f t="shared" si="2"/>
        <v>2.4501746644603788</v>
      </c>
      <c r="K37" s="21" t="s">
        <v>46</v>
      </c>
      <c r="L37" s="21" t="s">
        <v>42</v>
      </c>
      <c r="M37" s="21">
        <f>IF(Stats[[#This Row],[Survived (Y/N)]]="","",IF(Stats[[#This Row],[Survived (Y/N)]]="Y",1,0))</f>
        <v>1</v>
      </c>
    </row>
    <row r="38" spans="1:13" ht="22.5" customHeight="1" x14ac:dyDescent="0.2">
      <c r="A38" s="19">
        <v>45975</v>
      </c>
      <c r="B38" s="20">
        <v>3.1944444444444446E-3</v>
      </c>
      <c r="C38" s="21" t="s">
        <v>21</v>
      </c>
      <c r="D38" s="21" t="s">
        <v>39</v>
      </c>
      <c r="E38" s="21" t="s">
        <v>40</v>
      </c>
      <c r="F38" s="21" t="str">
        <f t="shared" si="0"/>
        <v>Low Gear</v>
      </c>
      <c r="G38" s="22">
        <v>10878</v>
      </c>
      <c r="H38" s="22">
        <v>-11286</v>
      </c>
      <c r="I38" s="22">
        <f t="shared" si="1"/>
        <v>-408</v>
      </c>
      <c r="J38" s="23">
        <f t="shared" si="2"/>
        <v>-1.0375068946497519</v>
      </c>
      <c r="K38" s="21" t="s">
        <v>46</v>
      </c>
      <c r="L38" s="21" t="s">
        <v>40</v>
      </c>
      <c r="M38" s="21">
        <f>IF(Stats[[#This Row],[Survived (Y/N)]]="","",IF(Stats[[#This Row],[Survived (Y/N)]]="Y",1,0))</f>
        <v>0</v>
      </c>
    </row>
    <row r="39" spans="1:13" ht="22.5" customHeight="1" x14ac:dyDescent="0.2">
      <c r="A39" s="19">
        <v>45975</v>
      </c>
      <c r="B39" s="20">
        <v>1.2488425925925925E-2</v>
      </c>
      <c r="C39" s="21" t="s">
        <v>21</v>
      </c>
      <c r="D39" s="21" t="s">
        <v>50</v>
      </c>
      <c r="E39" s="21" t="s">
        <v>40</v>
      </c>
      <c r="F39" s="21" t="str">
        <f t="shared" si="0"/>
        <v>Free Gear</v>
      </c>
      <c r="G39" s="22">
        <v>0</v>
      </c>
      <c r="H39" s="22">
        <v>21406</v>
      </c>
      <c r="I39" s="22">
        <f t="shared" si="1"/>
        <v>21406</v>
      </c>
      <c r="J39" s="23">
        <f t="shared" si="2"/>
        <v>1</v>
      </c>
      <c r="K39" s="21" t="s">
        <v>41</v>
      </c>
      <c r="L39" s="21" t="s">
        <v>42</v>
      </c>
      <c r="M39" s="21">
        <f>IF(Stats[[#This Row],[Survived (Y/N)]]="","",IF(Stats[[#This Row],[Survived (Y/N)]]="Y",1,0))</f>
        <v>1</v>
      </c>
    </row>
    <row r="40" spans="1:13" ht="22.5" customHeight="1" x14ac:dyDescent="0.2">
      <c r="A40" s="19">
        <v>45975</v>
      </c>
      <c r="B40" s="20">
        <v>9.5370370370370366E-3</v>
      </c>
      <c r="C40" s="21" t="s">
        <v>21</v>
      </c>
      <c r="D40" s="21" t="s">
        <v>50</v>
      </c>
      <c r="E40" s="21" t="s">
        <v>40</v>
      </c>
      <c r="F40" s="21" t="str">
        <f t="shared" si="0"/>
        <v>Low Gear</v>
      </c>
      <c r="G40" s="22">
        <v>8220</v>
      </c>
      <c r="H40" s="22">
        <v>20216</v>
      </c>
      <c r="I40" s="22">
        <f t="shared" si="1"/>
        <v>28436</v>
      </c>
      <c r="J40" s="23">
        <f t="shared" si="2"/>
        <v>2.4593673965936738</v>
      </c>
      <c r="K40" s="21" t="s">
        <v>41</v>
      </c>
      <c r="L40" s="21" t="s">
        <v>42</v>
      </c>
      <c r="M40" s="21">
        <f>IF(Stats[[#This Row],[Survived (Y/N)]]="","",IF(Stats[[#This Row],[Survived (Y/N)]]="Y",1,0))</f>
        <v>1</v>
      </c>
    </row>
    <row r="41" spans="1:13" ht="22.5" customHeight="1" x14ac:dyDescent="0.2">
      <c r="A41" s="19">
        <v>45975</v>
      </c>
      <c r="B41" s="20">
        <v>1.3877314814814815E-2</v>
      </c>
      <c r="C41" s="21" t="s">
        <v>25</v>
      </c>
      <c r="D41" s="21" t="s">
        <v>51</v>
      </c>
      <c r="E41" s="21" t="s">
        <v>42</v>
      </c>
      <c r="F41" s="21" t="str">
        <f t="shared" si="0"/>
        <v>High Gear</v>
      </c>
      <c r="G41" s="22">
        <v>34090</v>
      </c>
      <c r="H41" s="22">
        <v>45455</v>
      </c>
      <c r="I41" s="22">
        <f t="shared" si="1"/>
        <v>79545</v>
      </c>
      <c r="J41" s="23">
        <f t="shared" si="2"/>
        <v>1.3333822235259607</v>
      </c>
      <c r="K41" s="21" t="s">
        <v>41</v>
      </c>
      <c r="L41" s="21" t="s">
        <v>42</v>
      </c>
      <c r="M41" s="21">
        <f>IF(Stats[[#This Row],[Survived (Y/N)]]="","",IF(Stats[[#This Row],[Survived (Y/N)]]="Y",1,0))</f>
        <v>1</v>
      </c>
    </row>
    <row r="42" spans="1:13" ht="22.5" customHeight="1" x14ac:dyDescent="0.2">
      <c r="A42" s="19">
        <v>45975</v>
      </c>
      <c r="B42" s="20">
        <v>9.2013888888888892E-3</v>
      </c>
      <c r="C42" s="21" t="s">
        <v>25</v>
      </c>
      <c r="D42" s="21" t="s">
        <v>51</v>
      </c>
      <c r="E42" s="21" t="s">
        <v>40</v>
      </c>
      <c r="F42" s="21" t="str">
        <f t="shared" si="0"/>
        <v>High Gear</v>
      </c>
      <c r="G42" s="22">
        <v>31505</v>
      </c>
      <c r="H42" s="22">
        <v>29072</v>
      </c>
      <c r="I42" s="22">
        <f t="shared" si="1"/>
        <v>60577</v>
      </c>
      <c r="J42" s="23">
        <f t="shared" si="2"/>
        <v>0.92277416283129665</v>
      </c>
      <c r="K42" s="21" t="s">
        <v>41</v>
      </c>
      <c r="L42" s="21" t="s">
        <v>42</v>
      </c>
      <c r="M42" s="21">
        <f>IF(Stats[[#This Row],[Survived (Y/N)]]="","",IF(Stats[[#This Row],[Survived (Y/N)]]="Y",1,0))</f>
        <v>1</v>
      </c>
    </row>
    <row r="43" spans="1:13" ht="22.5" customHeight="1" x14ac:dyDescent="0.2">
      <c r="A43" s="19">
        <v>45976</v>
      </c>
      <c r="B43" s="20">
        <v>1.9594907407407408E-2</v>
      </c>
      <c r="C43" s="21" t="s">
        <v>23</v>
      </c>
      <c r="D43" s="21" t="s">
        <v>39</v>
      </c>
      <c r="E43" s="21" t="s">
        <v>40</v>
      </c>
      <c r="F43" s="21" t="str">
        <f t="shared" si="0"/>
        <v>High Gear</v>
      </c>
      <c r="G43" s="22">
        <v>34108</v>
      </c>
      <c r="H43" s="22">
        <v>12597</v>
      </c>
      <c r="I43" s="22">
        <f t="shared" si="1"/>
        <v>46705</v>
      </c>
      <c r="J43" s="23">
        <f t="shared" si="2"/>
        <v>0.36932684414213673</v>
      </c>
      <c r="K43" s="21" t="s">
        <v>41</v>
      </c>
      <c r="L43" s="21" t="s">
        <v>42</v>
      </c>
      <c r="M43" s="21">
        <f>IF(Stats[[#This Row],[Survived (Y/N)]]="","",IF(Stats[[#This Row],[Survived (Y/N)]]="Y",1,0))</f>
        <v>1</v>
      </c>
    </row>
    <row r="44" spans="1:13" ht="22.5" customHeight="1" x14ac:dyDescent="0.2">
      <c r="A44" s="19">
        <v>45976</v>
      </c>
      <c r="B44" s="20">
        <v>1.4537037037037038E-2</v>
      </c>
      <c r="C44" s="21" t="s">
        <v>52</v>
      </c>
      <c r="D44" s="21" t="s">
        <v>39</v>
      </c>
      <c r="E44" s="21" t="s">
        <v>40</v>
      </c>
      <c r="F44" s="21" t="str">
        <f t="shared" si="0"/>
        <v>High Gear</v>
      </c>
      <c r="G44" s="22">
        <v>36910</v>
      </c>
      <c r="H44" s="22">
        <v>19900</v>
      </c>
      <c r="I44" s="22">
        <f t="shared" si="1"/>
        <v>56810</v>
      </c>
      <c r="J44" s="23">
        <f t="shared" si="2"/>
        <v>0.53914928203738821</v>
      </c>
      <c r="K44" s="21" t="s">
        <v>46</v>
      </c>
      <c r="L44" s="21" t="s">
        <v>42</v>
      </c>
      <c r="M44" s="21">
        <f>IF(Stats[[#This Row],[Survived (Y/N)]]="","",IF(Stats[[#This Row],[Survived (Y/N)]]="Y",1,0))</f>
        <v>1</v>
      </c>
    </row>
    <row r="45" spans="1:13" ht="22.5" customHeight="1" x14ac:dyDescent="0.2">
      <c r="A45" s="19">
        <v>45976</v>
      </c>
      <c r="B45" s="20">
        <v>8.9120370370370378E-3</v>
      </c>
      <c r="C45" s="21" t="s">
        <v>52</v>
      </c>
      <c r="D45" s="21" t="s">
        <v>39</v>
      </c>
      <c r="E45" s="21" t="s">
        <v>40</v>
      </c>
      <c r="F45" s="21" t="str">
        <f t="shared" si="0"/>
        <v>High Gear</v>
      </c>
      <c r="G45" s="22">
        <v>41300</v>
      </c>
      <c r="H45" s="22">
        <v>-1218</v>
      </c>
      <c r="I45" s="22">
        <f t="shared" si="1"/>
        <v>40082</v>
      </c>
      <c r="J45" s="23">
        <f t="shared" si="2"/>
        <v>-2.9491525423728814E-2</v>
      </c>
      <c r="K45" s="21" t="s">
        <v>46</v>
      </c>
      <c r="L45" s="21" t="s">
        <v>42</v>
      </c>
      <c r="M45" s="21">
        <f>IF(Stats[[#This Row],[Survived (Y/N)]]="","",IF(Stats[[#This Row],[Survived (Y/N)]]="Y",1,0))</f>
        <v>1</v>
      </c>
    </row>
    <row r="46" spans="1:13" ht="22.5" customHeight="1" x14ac:dyDescent="0.2">
      <c r="A46" s="19">
        <v>45976</v>
      </c>
      <c r="B46" s="20">
        <v>1.4305555555555556E-2</v>
      </c>
      <c r="C46" s="21" t="s">
        <v>52</v>
      </c>
      <c r="D46" s="21" t="s">
        <v>39</v>
      </c>
      <c r="E46" s="21" t="s">
        <v>40</v>
      </c>
      <c r="F46" s="21" t="str">
        <f t="shared" si="0"/>
        <v>High Gear</v>
      </c>
      <c r="G46" s="22">
        <v>54490</v>
      </c>
      <c r="H46" s="22">
        <v>-7799</v>
      </c>
      <c r="I46" s="22">
        <f t="shared" si="1"/>
        <v>46691</v>
      </c>
      <c r="J46" s="23">
        <f t="shared" si="2"/>
        <v>-0.14312717929895394</v>
      </c>
      <c r="K46" s="21" t="s">
        <v>46</v>
      </c>
      <c r="L46" s="21" t="s">
        <v>42</v>
      </c>
      <c r="M46" s="21">
        <f>IF(Stats[[#This Row],[Survived (Y/N)]]="","",IF(Stats[[#This Row],[Survived (Y/N)]]="Y",1,0))</f>
        <v>1</v>
      </c>
    </row>
    <row r="47" spans="1:13" ht="22.5" customHeight="1" x14ac:dyDescent="0.2">
      <c r="A47" s="19">
        <v>45976</v>
      </c>
      <c r="B47" s="20">
        <v>4.2361111111111115E-3</v>
      </c>
      <c r="C47" s="21" t="s">
        <v>52</v>
      </c>
      <c r="D47" s="21" t="s">
        <v>39</v>
      </c>
      <c r="E47" s="21" t="s">
        <v>40</v>
      </c>
      <c r="F47" s="21" t="str">
        <f t="shared" si="0"/>
        <v>High Gear</v>
      </c>
      <c r="G47" s="22">
        <v>54346</v>
      </c>
      <c r="H47" s="22">
        <v>-51234</v>
      </c>
      <c r="I47" s="22">
        <f t="shared" si="1"/>
        <v>3112</v>
      </c>
      <c r="J47" s="23">
        <f t="shared" si="2"/>
        <v>-0.9427372759724727</v>
      </c>
      <c r="K47" s="21" t="s">
        <v>46</v>
      </c>
      <c r="L47" s="21" t="s">
        <v>40</v>
      </c>
      <c r="M47" s="21">
        <f>IF(Stats[[#This Row],[Survived (Y/N)]]="","",IF(Stats[[#This Row],[Survived (Y/N)]]="Y",1,0))</f>
        <v>0</v>
      </c>
    </row>
    <row r="48" spans="1:13" ht="22.5" customHeight="1" x14ac:dyDescent="0.2">
      <c r="A48" s="19">
        <v>45976</v>
      </c>
      <c r="B48" s="20">
        <v>2.5810185185185185E-3</v>
      </c>
      <c r="C48" s="21" t="s">
        <v>52</v>
      </c>
      <c r="D48" s="21" t="s">
        <v>39</v>
      </c>
      <c r="E48" s="21" t="s">
        <v>40</v>
      </c>
      <c r="F48" s="21" t="str">
        <f t="shared" si="0"/>
        <v>Free Gear</v>
      </c>
      <c r="G48" s="22">
        <v>0</v>
      </c>
      <c r="H48" s="22">
        <v>0</v>
      </c>
      <c r="I48" s="22">
        <f t="shared" si="1"/>
        <v>0</v>
      </c>
      <c r="J48" s="23">
        <f t="shared" si="2"/>
        <v>0</v>
      </c>
      <c r="K48" s="21" t="s">
        <v>46</v>
      </c>
      <c r="L48" s="21" t="s">
        <v>40</v>
      </c>
      <c r="M48" s="21">
        <f>IF(Stats[[#This Row],[Survived (Y/N)]]="","",IF(Stats[[#This Row],[Survived (Y/N)]]="Y",1,0))</f>
        <v>0</v>
      </c>
    </row>
    <row r="49" spans="1:13" ht="22.5" customHeight="1" x14ac:dyDescent="0.2">
      <c r="A49" s="19">
        <v>45976</v>
      </c>
      <c r="B49" s="20">
        <v>3.9351851851851848E-3</v>
      </c>
      <c r="C49" s="21" t="s">
        <v>52</v>
      </c>
      <c r="D49" s="21" t="s">
        <v>39</v>
      </c>
      <c r="E49" s="21" t="s">
        <v>40</v>
      </c>
      <c r="F49" s="21" t="str">
        <f t="shared" si="0"/>
        <v>Free Gear</v>
      </c>
      <c r="G49" s="22">
        <v>0</v>
      </c>
      <c r="H49" s="22">
        <v>0</v>
      </c>
      <c r="I49" s="22">
        <f t="shared" si="1"/>
        <v>0</v>
      </c>
      <c r="J49" s="23">
        <f t="shared" si="2"/>
        <v>0</v>
      </c>
      <c r="K49" s="21" t="s">
        <v>46</v>
      </c>
      <c r="L49" s="21" t="s">
        <v>40</v>
      </c>
      <c r="M49" s="21">
        <f>IF(Stats[[#This Row],[Survived (Y/N)]]="","",IF(Stats[[#This Row],[Survived (Y/N)]]="Y",1,0))</f>
        <v>0</v>
      </c>
    </row>
    <row r="50" spans="1:13" ht="22.5" customHeight="1" x14ac:dyDescent="0.2">
      <c r="A50" s="19">
        <v>45976</v>
      </c>
      <c r="B50" s="20">
        <v>1.2453703703703703E-2</v>
      </c>
      <c r="C50" s="21" t="s">
        <v>52</v>
      </c>
      <c r="D50" s="21" t="s">
        <v>39</v>
      </c>
      <c r="E50" s="21" t="s">
        <v>40</v>
      </c>
      <c r="F50" s="21" t="str">
        <f t="shared" si="0"/>
        <v>Low Gear</v>
      </c>
      <c r="G50" s="22">
        <v>10586</v>
      </c>
      <c r="H50" s="22">
        <v>24195</v>
      </c>
      <c r="I50" s="22">
        <f t="shared" si="1"/>
        <v>34781</v>
      </c>
      <c r="J50" s="23">
        <f t="shared" si="2"/>
        <v>2.2855658416776876</v>
      </c>
      <c r="K50" s="21" t="s">
        <v>41</v>
      </c>
      <c r="L50" s="21" t="s">
        <v>42</v>
      </c>
      <c r="M50" s="21">
        <f>IF(Stats[[#This Row],[Survived (Y/N)]]="","",IF(Stats[[#This Row],[Survived (Y/N)]]="Y",1,0))</f>
        <v>1</v>
      </c>
    </row>
    <row r="51" spans="1:13" ht="22.5" customHeight="1" x14ac:dyDescent="0.2">
      <c r="A51" s="19">
        <v>45979</v>
      </c>
      <c r="B51" s="20">
        <v>6.3194444444444444E-3</v>
      </c>
      <c r="C51" s="21" t="s">
        <v>52</v>
      </c>
      <c r="D51" s="21" t="s">
        <v>39</v>
      </c>
      <c r="E51" s="21" t="s">
        <v>40</v>
      </c>
      <c r="F51" s="21" t="str">
        <f t="shared" si="0"/>
        <v>Free Gear</v>
      </c>
      <c r="G51" s="22">
        <v>0</v>
      </c>
      <c r="H51" s="22">
        <v>9747</v>
      </c>
      <c r="I51" s="22">
        <f t="shared" si="1"/>
        <v>9747</v>
      </c>
      <c r="J51" s="23">
        <f t="shared" si="2"/>
        <v>1</v>
      </c>
      <c r="K51" s="21" t="s">
        <v>41</v>
      </c>
      <c r="L51" s="21" t="s">
        <v>42</v>
      </c>
      <c r="M51" s="21">
        <f>IF(Stats[[#This Row],[Survived (Y/N)]]="","",IF(Stats[[#This Row],[Survived (Y/N)]]="Y",1,0))</f>
        <v>1</v>
      </c>
    </row>
    <row r="52" spans="1:13" ht="22.5" customHeight="1" x14ac:dyDescent="0.2">
      <c r="A52" s="19">
        <v>45979</v>
      </c>
      <c r="B52" s="20">
        <v>5.0462962962962961E-3</v>
      </c>
      <c r="C52" s="21" t="s">
        <v>23</v>
      </c>
      <c r="D52" s="21" t="s">
        <v>39</v>
      </c>
      <c r="E52" s="21" t="s">
        <v>40</v>
      </c>
      <c r="F52" s="21" t="str">
        <f t="shared" si="0"/>
        <v>Low Gear</v>
      </c>
      <c r="G52" s="22">
        <v>7232</v>
      </c>
      <c r="H52" s="22">
        <v>-7140</v>
      </c>
      <c r="I52" s="22">
        <f t="shared" si="1"/>
        <v>92</v>
      </c>
      <c r="J52" s="23">
        <f t="shared" si="2"/>
        <v>-0.9872787610619469</v>
      </c>
      <c r="K52" s="21" t="s">
        <v>41</v>
      </c>
      <c r="L52" s="21" t="s">
        <v>40</v>
      </c>
      <c r="M52" s="21">
        <f>IF(Stats[[#This Row],[Survived (Y/N)]]="","",IF(Stats[[#This Row],[Survived (Y/N)]]="Y",1,0))</f>
        <v>0</v>
      </c>
    </row>
    <row r="53" spans="1:13" ht="22.5" customHeight="1" x14ac:dyDescent="0.2">
      <c r="A53" s="19">
        <v>45979</v>
      </c>
      <c r="B53" s="20">
        <v>5.4976851851851853E-3</v>
      </c>
      <c r="C53" s="21" t="s">
        <v>27</v>
      </c>
      <c r="D53" s="21" t="s">
        <v>39</v>
      </c>
      <c r="E53" s="21" t="s">
        <v>40</v>
      </c>
      <c r="F53" s="21" t="str">
        <f t="shared" si="0"/>
        <v>Free Gear</v>
      </c>
      <c r="G53" s="22">
        <v>0</v>
      </c>
      <c r="H53" s="22">
        <v>0</v>
      </c>
      <c r="I53" s="22">
        <f t="shared" si="1"/>
        <v>0</v>
      </c>
      <c r="J53" s="23">
        <f t="shared" si="2"/>
        <v>0</v>
      </c>
      <c r="K53" s="21" t="s">
        <v>41</v>
      </c>
      <c r="L53" s="21" t="s">
        <v>40</v>
      </c>
      <c r="M53" s="21">
        <f>IF(Stats[[#This Row],[Survived (Y/N)]]="","",IF(Stats[[#This Row],[Survived (Y/N)]]="Y",1,0))</f>
        <v>0</v>
      </c>
    </row>
    <row r="54" spans="1:13" ht="22.5" customHeight="1" x14ac:dyDescent="0.2">
      <c r="A54" s="19">
        <v>45979</v>
      </c>
      <c r="B54" s="20">
        <v>1.7719907407407406E-2</v>
      </c>
      <c r="C54" s="21" t="s">
        <v>27</v>
      </c>
      <c r="D54" s="21" t="s">
        <v>39</v>
      </c>
      <c r="E54" s="21" t="s">
        <v>40</v>
      </c>
      <c r="F54" s="21" t="str">
        <f t="shared" si="0"/>
        <v>Low Gear</v>
      </c>
      <c r="G54" s="22">
        <v>18570</v>
      </c>
      <c r="H54" s="22">
        <v>26644</v>
      </c>
      <c r="I54" s="22">
        <f t="shared" si="1"/>
        <v>45214</v>
      </c>
      <c r="J54" s="23">
        <f t="shared" si="2"/>
        <v>1.4347872913301023</v>
      </c>
      <c r="K54" s="21" t="s">
        <v>41</v>
      </c>
      <c r="L54" s="21" t="s">
        <v>42</v>
      </c>
      <c r="M54" s="21">
        <f>IF(Stats[[#This Row],[Survived (Y/N)]]="","",IF(Stats[[#This Row],[Survived (Y/N)]]="Y",1,0))</f>
        <v>1</v>
      </c>
    </row>
    <row r="55" spans="1:13" ht="22.5" customHeight="1" x14ac:dyDescent="0.2">
      <c r="A55" s="19">
        <v>45979</v>
      </c>
      <c r="B55" s="20">
        <v>1.5173611111111112E-2</v>
      </c>
      <c r="C55" s="21" t="s">
        <v>27</v>
      </c>
      <c r="D55" s="21" t="s">
        <v>49</v>
      </c>
      <c r="E55" s="21" t="s">
        <v>40</v>
      </c>
      <c r="F55" s="21" t="str">
        <f t="shared" si="0"/>
        <v>High Gear</v>
      </c>
      <c r="G55" s="22">
        <v>40060</v>
      </c>
      <c r="H55" s="22">
        <v>-30988</v>
      </c>
      <c r="I55" s="22">
        <f t="shared" si="1"/>
        <v>9072</v>
      </c>
      <c r="J55" s="23">
        <f t="shared" si="2"/>
        <v>-0.7735396904643036</v>
      </c>
      <c r="K55" s="21" t="s">
        <v>41</v>
      </c>
      <c r="L55" s="21" t="s">
        <v>40</v>
      </c>
      <c r="M55" s="21">
        <f>IF(Stats[[#This Row],[Survived (Y/N)]]="","",IF(Stats[[#This Row],[Survived (Y/N)]]="Y",1,0))</f>
        <v>0</v>
      </c>
    </row>
    <row r="56" spans="1:13" ht="22.5" customHeight="1" x14ac:dyDescent="0.2">
      <c r="A56" s="19">
        <v>45979</v>
      </c>
      <c r="B56" s="20">
        <v>6.7129629629629631E-3</v>
      </c>
      <c r="C56" s="21" t="s">
        <v>23</v>
      </c>
      <c r="D56" s="21" t="s">
        <v>53</v>
      </c>
      <c r="E56" s="21"/>
      <c r="F56" s="21" t="str">
        <f t="shared" si="0"/>
        <v>High Gear</v>
      </c>
      <c r="G56" s="22">
        <v>44820</v>
      </c>
      <c r="H56" s="22">
        <v>-40298</v>
      </c>
      <c r="I56" s="22">
        <f t="shared" si="1"/>
        <v>4522</v>
      </c>
      <c r="J56" s="23">
        <f t="shared" si="2"/>
        <v>-0.89910754127621595</v>
      </c>
      <c r="K56" s="21" t="s">
        <v>41</v>
      </c>
      <c r="L56" s="21" t="s">
        <v>40</v>
      </c>
      <c r="M56" s="21">
        <f>IF(Stats[[#This Row],[Survived (Y/N)]]="","",IF(Stats[[#This Row],[Survived (Y/N)]]="Y",1,0))</f>
        <v>0</v>
      </c>
    </row>
    <row r="57" spans="1:13" ht="22.5" customHeight="1" x14ac:dyDescent="0.2">
      <c r="A57" s="19"/>
      <c r="B57" s="20"/>
      <c r="C57" s="21"/>
      <c r="D57" s="21"/>
      <c r="E57" s="21"/>
      <c r="F57" s="21"/>
      <c r="G57" s="22"/>
      <c r="H57" s="22"/>
      <c r="I57" s="22"/>
      <c r="J57" s="23"/>
      <c r="K57" s="21"/>
      <c r="L57" s="21"/>
      <c r="M57" s="21"/>
    </row>
    <row r="58" spans="1:13" ht="22.5" customHeight="1" x14ac:dyDescent="0.2">
      <c r="A58" s="19"/>
      <c r="B58" s="20"/>
      <c r="C58" s="21"/>
      <c r="D58" s="21"/>
      <c r="E58" s="21"/>
      <c r="F58" s="21"/>
      <c r="G58" s="22"/>
      <c r="H58" s="22"/>
      <c r="I58" s="22"/>
      <c r="J58" s="23"/>
      <c r="K58" s="21"/>
      <c r="L58" s="21"/>
      <c r="M58" s="21"/>
    </row>
    <row r="59" spans="1:13" ht="22.5" customHeight="1" x14ac:dyDescent="0.2">
      <c r="A59" s="19"/>
      <c r="B59" s="20"/>
      <c r="C59" s="21"/>
      <c r="D59" s="21"/>
      <c r="E59" s="21"/>
      <c r="F59" s="21"/>
      <c r="G59" s="22"/>
      <c r="H59" s="22"/>
      <c r="I59" s="22"/>
      <c r="J59" s="23"/>
      <c r="K59" s="21"/>
      <c r="L59" s="21"/>
      <c r="M59" s="21"/>
    </row>
    <row r="60" spans="1:13" ht="22.5" customHeight="1" x14ac:dyDescent="0.2">
      <c r="A60" s="19"/>
      <c r="B60" s="20"/>
      <c r="C60" s="21"/>
      <c r="D60" s="21"/>
      <c r="E60" s="21"/>
      <c r="F60" s="21"/>
      <c r="G60" s="22"/>
      <c r="H60" s="22"/>
      <c r="I60" s="22"/>
      <c r="J60" s="23"/>
      <c r="K60" s="21"/>
      <c r="L60" s="21"/>
      <c r="M60" s="21"/>
    </row>
    <row r="61" spans="1:13" ht="22.5" customHeight="1" x14ac:dyDescent="0.2">
      <c r="A61" s="19"/>
      <c r="B61" s="20"/>
      <c r="C61" s="21"/>
      <c r="D61" s="21"/>
      <c r="E61" s="21"/>
      <c r="F61" s="21"/>
      <c r="G61" s="22"/>
      <c r="H61" s="22"/>
      <c r="I61" s="22"/>
      <c r="J61" s="23"/>
      <c r="K61" s="21"/>
      <c r="L61" s="21"/>
      <c r="M61" s="21"/>
    </row>
    <row r="62" spans="1:13" ht="22.5" customHeight="1" x14ac:dyDescent="0.2">
      <c r="A62" s="19"/>
      <c r="B62" s="20"/>
      <c r="C62" s="21"/>
      <c r="D62" s="21"/>
      <c r="E62" s="21"/>
      <c r="F62" s="21"/>
      <c r="G62" s="22"/>
      <c r="H62" s="22"/>
      <c r="I62" s="22"/>
      <c r="J62" s="23"/>
      <c r="K62" s="21"/>
      <c r="L62" s="21"/>
      <c r="M62" s="21"/>
    </row>
    <row r="63" spans="1:13" ht="22.5" customHeight="1" x14ac:dyDescent="0.2">
      <c r="A63" s="19"/>
      <c r="B63" s="20"/>
      <c r="C63" s="21"/>
      <c r="D63" s="21"/>
      <c r="E63" s="21"/>
      <c r="F63" s="21"/>
      <c r="G63" s="22"/>
      <c r="H63" s="22"/>
      <c r="I63" s="22"/>
      <c r="J63" s="23"/>
      <c r="K63" s="21"/>
      <c r="L63" s="21"/>
      <c r="M63" s="21"/>
    </row>
    <row r="64" spans="1:13" ht="22.5" customHeight="1" x14ac:dyDescent="0.2">
      <c r="A64" s="19"/>
      <c r="B64" s="20"/>
      <c r="C64" s="21"/>
      <c r="D64" s="21"/>
      <c r="E64" s="21"/>
      <c r="F64" s="21"/>
      <c r="G64" s="22"/>
      <c r="H64" s="22"/>
      <c r="I64" s="22"/>
      <c r="J64" s="23"/>
      <c r="K64" s="21"/>
      <c r="L64" s="21"/>
      <c r="M64" s="21"/>
    </row>
    <row r="65" spans="1:13" ht="22.5" customHeight="1" x14ac:dyDescent="0.2">
      <c r="A65" s="19"/>
      <c r="B65" s="20"/>
      <c r="C65" s="21"/>
      <c r="D65" s="21"/>
      <c r="E65" s="21"/>
      <c r="F65" s="21"/>
      <c r="G65" s="22"/>
      <c r="H65" s="22"/>
      <c r="I65" s="22"/>
      <c r="J65" s="23"/>
      <c r="K65" s="21"/>
      <c r="L65" s="21"/>
      <c r="M65" s="21"/>
    </row>
    <row r="66" spans="1:13" ht="22.5" customHeight="1" x14ac:dyDescent="0.2">
      <c r="A66" s="19"/>
      <c r="B66" s="20"/>
      <c r="C66" s="21"/>
      <c r="D66" s="21"/>
      <c r="E66" s="21"/>
      <c r="F66" s="21"/>
      <c r="G66" s="22"/>
      <c r="H66" s="22"/>
      <c r="I66" s="22"/>
      <c r="J66" s="23"/>
      <c r="K66" s="21"/>
      <c r="L66" s="21"/>
      <c r="M66" s="21"/>
    </row>
    <row r="67" spans="1:13" ht="22.5" customHeight="1" x14ac:dyDescent="0.2">
      <c r="A67" s="19"/>
      <c r="B67" s="20"/>
      <c r="C67" s="21"/>
      <c r="D67" s="21"/>
      <c r="E67" s="21"/>
      <c r="F67" s="21"/>
      <c r="G67" s="22"/>
      <c r="H67" s="22"/>
      <c r="I67" s="22"/>
      <c r="J67" s="23"/>
      <c r="K67" s="21"/>
      <c r="L67" s="21"/>
      <c r="M67" s="21"/>
    </row>
    <row r="68" spans="1:13" ht="22.5" customHeight="1" x14ac:dyDescent="0.2">
      <c r="A68" s="19"/>
      <c r="B68" s="20"/>
      <c r="C68" s="21"/>
      <c r="D68" s="21"/>
      <c r="E68" s="21"/>
      <c r="F68" s="21"/>
      <c r="G68" s="22"/>
      <c r="H68" s="22"/>
      <c r="I68" s="22"/>
      <c r="J68" s="23"/>
      <c r="K68" s="21"/>
      <c r="L68" s="21"/>
      <c r="M68" s="21"/>
    </row>
    <row r="69" spans="1:13" ht="22.5" customHeight="1" x14ac:dyDescent="0.2">
      <c r="A69" s="19"/>
      <c r="B69" s="20"/>
      <c r="C69" s="21"/>
      <c r="D69" s="21"/>
      <c r="E69" s="21"/>
      <c r="F69" s="21"/>
      <c r="G69" s="22"/>
      <c r="H69" s="22"/>
      <c r="I69" s="22"/>
      <c r="J69" s="23"/>
      <c r="K69" s="21"/>
      <c r="L69" s="21"/>
      <c r="M69" s="21"/>
    </row>
    <row r="70" spans="1:13" ht="22.5" customHeight="1" x14ac:dyDescent="0.2">
      <c r="A70" s="19"/>
      <c r="B70" s="20"/>
      <c r="C70" s="21"/>
      <c r="D70" s="21"/>
      <c r="E70" s="21"/>
      <c r="F70" s="21"/>
      <c r="G70" s="22"/>
      <c r="H70" s="22"/>
      <c r="I70" s="22"/>
      <c r="J70" s="23"/>
      <c r="K70" s="21"/>
      <c r="L70" s="21"/>
      <c r="M70" s="21"/>
    </row>
    <row r="71" spans="1:13" ht="22.5" customHeight="1" x14ac:dyDescent="0.2">
      <c r="A71" s="19"/>
      <c r="B71" s="20"/>
      <c r="C71" s="21"/>
      <c r="D71" s="21"/>
      <c r="E71" s="21"/>
      <c r="F71" s="21"/>
      <c r="G71" s="22"/>
      <c r="H71" s="22"/>
      <c r="I71" s="22"/>
      <c r="J71" s="23"/>
      <c r="K71" s="21"/>
      <c r="L71" s="21"/>
      <c r="M71" s="21"/>
    </row>
    <row r="72" spans="1:13" ht="12.75" x14ac:dyDescent="0.2">
      <c r="G72" s="24"/>
      <c r="H72" s="24"/>
      <c r="I72" s="24"/>
    </row>
    <row r="73" spans="1:13" ht="12.75" x14ac:dyDescent="0.2">
      <c r="G73" s="24"/>
      <c r="H73" s="24"/>
      <c r="I73" s="24"/>
    </row>
    <row r="74" spans="1:13" ht="12.75" x14ac:dyDescent="0.2">
      <c r="G74" s="24"/>
      <c r="H74" s="24"/>
      <c r="I74" s="24"/>
    </row>
    <row r="75" spans="1:13" ht="12.75" x14ac:dyDescent="0.2">
      <c r="G75" s="24"/>
      <c r="H75" s="24"/>
      <c r="I75" s="24"/>
    </row>
    <row r="76" spans="1:13" ht="12.75" x14ac:dyDescent="0.2">
      <c r="G76" s="24"/>
      <c r="H76" s="24"/>
      <c r="I76" s="24"/>
    </row>
    <row r="77" spans="1:13" ht="12.75" x14ac:dyDescent="0.2">
      <c r="G77" s="24"/>
      <c r="H77" s="24"/>
      <c r="I77" s="24"/>
    </row>
    <row r="78" spans="1:13" ht="12.75" x14ac:dyDescent="0.2">
      <c r="G78" s="24"/>
      <c r="H78" s="24"/>
      <c r="I78" s="24"/>
    </row>
    <row r="79" spans="1:13" ht="12.75" x14ac:dyDescent="0.2">
      <c r="G79" s="24"/>
      <c r="H79" s="24"/>
      <c r="I79" s="24"/>
    </row>
    <row r="80" spans="1:13" ht="12.75" x14ac:dyDescent="0.2">
      <c r="G80" s="24"/>
      <c r="H80" s="24"/>
      <c r="I80" s="24"/>
    </row>
    <row r="81" spans="7:9" ht="12.75" x14ac:dyDescent="0.2">
      <c r="G81" s="24"/>
      <c r="H81" s="24"/>
      <c r="I81" s="24"/>
    </row>
    <row r="82" spans="7:9" ht="12.75" x14ac:dyDescent="0.2">
      <c r="G82" s="24"/>
      <c r="H82" s="24"/>
      <c r="I82" s="24"/>
    </row>
    <row r="83" spans="7:9" ht="12.75" x14ac:dyDescent="0.2">
      <c r="G83" s="24"/>
      <c r="H83" s="24"/>
      <c r="I83" s="24"/>
    </row>
    <row r="84" spans="7:9" ht="12.75" x14ac:dyDescent="0.2">
      <c r="G84" s="24"/>
      <c r="H84" s="24"/>
      <c r="I84" s="24"/>
    </row>
    <row r="85" spans="7:9" ht="12.75" x14ac:dyDescent="0.2">
      <c r="G85" s="24"/>
      <c r="H85" s="24"/>
      <c r="I85" s="24"/>
    </row>
    <row r="86" spans="7:9" ht="12.75" x14ac:dyDescent="0.2">
      <c r="G86" s="24"/>
      <c r="H86" s="24"/>
      <c r="I86" s="24"/>
    </row>
    <row r="87" spans="7:9" ht="12.75" x14ac:dyDescent="0.2">
      <c r="G87" s="24"/>
      <c r="H87" s="24"/>
      <c r="I87" s="24"/>
    </row>
    <row r="88" spans="7:9" ht="12.75" x14ac:dyDescent="0.2">
      <c r="G88" s="24"/>
      <c r="H88" s="24"/>
      <c r="I88" s="24"/>
    </row>
    <row r="89" spans="7:9" ht="12.75" x14ac:dyDescent="0.2">
      <c r="G89" s="24"/>
      <c r="H89" s="24"/>
      <c r="I89" s="24"/>
    </row>
    <row r="90" spans="7:9" ht="12.75" x14ac:dyDescent="0.2">
      <c r="G90" s="24"/>
      <c r="H90" s="24"/>
      <c r="I90" s="24"/>
    </row>
    <row r="91" spans="7:9" ht="12.75" x14ac:dyDescent="0.2">
      <c r="G91" s="24"/>
      <c r="H91" s="24"/>
      <c r="I91" s="24"/>
    </row>
    <row r="92" spans="7:9" ht="12.75" x14ac:dyDescent="0.2">
      <c r="G92" s="24"/>
      <c r="H92" s="24"/>
      <c r="I92" s="24"/>
    </row>
    <row r="93" spans="7:9" ht="12.75" x14ac:dyDescent="0.2">
      <c r="G93" s="24"/>
      <c r="H93" s="24"/>
      <c r="I93" s="24"/>
    </row>
    <row r="94" spans="7:9" ht="12.75" x14ac:dyDescent="0.2">
      <c r="G94" s="24"/>
      <c r="H94" s="24"/>
      <c r="I94" s="24"/>
    </row>
    <row r="95" spans="7:9" ht="12.75" x14ac:dyDescent="0.2">
      <c r="G95" s="24"/>
      <c r="H95" s="24"/>
      <c r="I95" s="24"/>
    </row>
    <row r="96" spans="7:9" ht="12.75" x14ac:dyDescent="0.2">
      <c r="G96" s="24"/>
      <c r="H96" s="24"/>
      <c r="I96" s="24"/>
    </row>
    <row r="97" spans="7:9" ht="12.75" x14ac:dyDescent="0.2">
      <c r="G97" s="24"/>
      <c r="H97" s="24"/>
      <c r="I97" s="24"/>
    </row>
    <row r="98" spans="7:9" ht="12.75" x14ac:dyDescent="0.2">
      <c r="G98" s="24"/>
      <c r="H98" s="24"/>
      <c r="I98" s="24"/>
    </row>
    <row r="99" spans="7:9" ht="12.75" x14ac:dyDescent="0.2">
      <c r="G99" s="24"/>
      <c r="H99" s="24"/>
      <c r="I99" s="24"/>
    </row>
    <row r="100" spans="7:9" ht="12.75" x14ac:dyDescent="0.2">
      <c r="G100" s="24"/>
      <c r="H100" s="24"/>
      <c r="I100" s="24"/>
    </row>
    <row r="101" spans="7:9" ht="12.75" x14ac:dyDescent="0.2">
      <c r="G101" s="24"/>
      <c r="H101" s="24"/>
      <c r="I101" s="24"/>
    </row>
    <row r="102" spans="7:9" ht="12.75" x14ac:dyDescent="0.2">
      <c r="G102" s="24"/>
      <c r="H102" s="24"/>
      <c r="I102" s="24"/>
    </row>
    <row r="103" spans="7:9" ht="12.75" x14ac:dyDescent="0.2">
      <c r="G103" s="24"/>
      <c r="H103" s="24"/>
      <c r="I103" s="24"/>
    </row>
    <row r="104" spans="7:9" ht="12.75" x14ac:dyDescent="0.2">
      <c r="G104" s="24"/>
      <c r="H104" s="24"/>
      <c r="I104" s="24"/>
    </row>
    <row r="105" spans="7:9" ht="12.75" x14ac:dyDescent="0.2">
      <c r="G105" s="24"/>
      <c r="H105" s="24"/>
      <c r="I105" s="24"/>
    </row>
    <row r="106" spans="7:9" ht="12.75" x14ac:dyDescent="0.2">
      <c r="G106" s="24"/>
      <c r="H106" s="24"/>
      <c r="I106" s="24"/>
    </row>
    <row r="107" spans="7:9" ht="12.75" x14ac:dyDescent="0.2">
      <c r="G107" s="24"/>
      <c r="H107" s="24"/>
      <c r="I107" s="24"/>
    </row>
    <row r="108" spans="7:9" ht="12.75" x14ac:dyDescent="0.2">
      <c r="G108" s="24"/>
      <c r="H108" s="24"/>
      <c r="I108" s="24"/>
    </row>
    <row r="109" spans="7:9" ht="12.75" x14ac:dyDescent="0.2">
      <c r="G109" s="24"/>
      <c r="H109" s="24"/>
      <c r="I109" s="24"/>
    </row>
    <row r="110" spans="7:9" ht="12.75" x14ac:dyDescent="0.2">
      <c r="G110" s="24"/>
      <c r="H110" s="24"/>
      <c r="I110" s="24"/>
    </row>
    <row r="111" spans="7:9" ht="12.75" x14ac:dyDescent="0.2">
      <c r="G111" s="24"/>
      <c r="H111" s="24"/>
      <c r="I111" s="24"/>
    </row>
    <row r="112" spans="7:9" ht="12.75" x14ac:dyDescent="0.2">
      <c r="G112" s="24"/>
      <c r="H112" s="24"/>
      <c r="I112" s="24"/>
    </row>
    <row r="113" spans="7:9" ht="12.75" x14ac:dyDescent="0.2">
      <c r="G113" s="24"/>
      <c r="H113" s="24"/>
      <c r="I113" s="24"/>
    </row>
    <row r="114" spans="7:9" ht="12.75" x14ac:dyDescent="0.2">
      <c r="G114" s="24"/>
      <c r="H114" s="24"/>
      <c r="I114" s="24"/>
    </row>
    <row r="115" spans="7:9" ht="12.75" x14ac:dyDescent="0.2">
      <c r="G115" s="24"/>
      <c r="H115" s="24"/>
      <c r="I115" s="24"/>
    </row>
    <row r="116" spans="7:9" ht="12.75" x14ac:dyDescent="0.2">
      <c r="G116" s="24"/>
      <c r="H116" s="24"/>
      <c r="I116" s="24"/>
    </row>
    <row r="117" spans="7:9" ht="12.75" x14ac:dyDescent="0.2">
      <c r="G117" s="24"/>
      <c r="H117" s="24"/>
      <c r="I117" s="24"/>
    </row>
    <row r="118" spans="7:9" ht="12.75" x14ac:dyDescent="0.2">
      <c r="G118" s="24"/>
      <c r="H118" s="24"/>
      <c r="I118" s="24"/>
    </row>
    <row r="119" spans="7:9" ht="12.75" x14ac:dyDescent="0.2">
      <c r="G119" s="24"/>
      <c r="H119" s="24"/>
      <c r="I119" s="24"/>
    </row>
    <row r="120" spans="7:9" ht="12.75" x14ac:dyDescent="0.2">
      <c r="G120" s="24"/>
      <c r="H120" s="24"/>
      <c r="I120" s="24"/>
    </row>
    <row r="121" spans="7:9" ht="12.75" x14ac:dyDescent="0.2">
      <c r="G121" s="24"/>
      <c r="H121" s="24"/>
      <c r="I121" s="24"/>
    </row>
    <row r="122" spans="7:9" ht="12.75" x14ac:dyDescent="0.2">
      <c r="G122" s="24"/>
      <c r="H122" s="24"/>
      <c r="I122" s="24"/>
    </row>
    <row r="123" spans="7:9" ht="12.75" x14ac:dyDescent="0.2">
      <c r="G123" s="24"/>
      <c r="H123" s="24"/>
      <c r="I123" s="24"/>
    </row>
    <row r="124" spans="7:9" ht="12.75" x14ac:dyDescent="0.2">
      <c r="G124" s="24"/>
      <c r="H124" s="24"/>
      <c r="I124" s="24"/>
    </row>
    <row r="125" spans="7:9" ht="12.75" x14ac:dyDescent="0.2">
      <c r="G125" s="24"/>
      <c r="H125" s="24"/>
      <c r="I125" s="24"/>
    </row>
    <row r="126" spans="7:9" ht="12.75" x14ac:dyDescent="0.2">
      <c r="G126" s="24"/>
      <c r="H126" s="24"/>
      <c r="I126" s="24"/>
    </row>
    <row r="127" spans="7:9" ht="12.75" x14ac:dyDescent="0.2">
      <c r="G127" s="24"/>
      <c r="H127" s="24"/>
      <c r="I127" s="24"/>
    </row>
    <row r="128" spans="7:9" ht="12.75" x14ac:dyDescent="0.2">
      <c r="G128" s="24"/>
      <c r="H128" s="24"/>
      <c r="I128" s="24"/>
    </row>
    <row r="129" spans="7:9" ht="12.75" x14ac:dyDescent="0.2">
      <c r="G129" s="24"/>
      <c r="H129" s="24"/>
      <c r="I129" s="24"/>
    </row>
    <row r="130" spans="7:9" ht="12.75" x14ac:dyDescent="0.2">
      <c r="G130" s="24"/>
      <c r="H130" s="24"/>
      <c r="I130" s="24"/>
    </row>
    <row r="131" spans="7:9" ht="12.75" x14ac:dyDescent="0.2">
      <c r="G131" s="24"/>
      <c r="H131" s="24"/>
      <c r="I131" s="24"/>
    </row>
    <row r="132" spans="7:9" ht="12.75" x14ac:dyDescent="0.2">
      <c r="G132" s="24"/>
      <c r="H132" s="24"/>
      <c r="I132" s="24"/>
    </row>
    <row r="133" spans="7:9" ht="12.75" x14ac:dyDescent="0.2">
      <c r="G133" s="24"/>
      <c r="H133" s="24"/>
      <c r="I133" s="24"/>
    </row>
    <row r="134" spans="7:9" ht="12.75" x14ac:dyDescent="0.2">
      <c r="G134" s="24"/>
      <c r="H134" s="24"/>
      <c r="I134" s="24"/>
    </row>
    <row r="135" spans="7:9" ht="12.75" x14ac:dyDescent="0.2">
      <c r="G135" s="24"/>
      <c r="H135" s="24"/>
      <c r="I135" s="24"/>
    </row>
    <row r="136" spans="7:9" ht="12.75" x14ac:dyDescent="0.2">
      <c r="G136" s="24"/>
      <c r="H136" s="24"/>
      <c r="I136" s="24"/>
    </row>
    <row r="137" spans="7:9" ht="12.75" x14ac:dyDescent="0.2">
      <c r="G137" s="24"/>
      <c r="H137" s="24"/>
      <c r="I137" s="24"/>
    </row>
    <row r="138" spans="7:9" ht="12.75" x14ac:dyDescent="0.2">
      <c r="G138" s="24"/>
      <c r="H138" s="24"/>
      <c r="I138" s="24"/>
    </row>
    <row r="139" spans="7:9" ht="12.75" x14ac:dyDescent="0.2">
      <c r="G139" s="24"/>
      <c r="H139" s="24"/>
      <c r="I139" s="24"/>
    </row>
    <row r="140" spans="7:9" ht="12.75" x14ac:dyDescent="0.2">
      <c r="G140" s="24"/>
      <c r="H140" s="24"/>
      <c r="I140" s="24"/>
    </row>
    <row r="141" spans="7:9" ht="12.75" x14ac:dyDescent="0.2">
      <c r="G141" s="24"/>
      <c r="H141" s="24"/>
      <c r="I141" s="24"/>
    </row>
    <row r="142" spans="7:9" ht="12.75" x14ac:dyDescent="0.2">
      <c r="G142" s="24"/>
      <c r="H142" s="24"/>
      <c r="I142" s="24"/>
    </row>
    <row r="143" spans="7:9" ht="12.75" x14ac:dyDescent="0.2">
      <c r="G143" s="24"/>
      <c r="H143" s="24"/>
      <c r="I143" s="24"/>
    </row>
    <row r="144" spans="7:9" ht="12.75" x14ac:dyDescent="0.2">
      <c r="G144" s="24"/>
      <c r="H144" s="24"/>
      <c r="I144" s="24"/>
    </row>
    <row r="145" spans="7:9" ht="12.75" x14ac:dyDescent="0.2">
      <c r="G145" s="24"/>
      <c r="H145" s="24"/>
      <c r="I145" s="24"/>
    </row>
    <row r="146" spans="7:9" ht="12.75" x14ac:dyDescent="0.2">
      <c r="G146" s="24"/>
      <c r="H146" s="24"/>
      <c r="I146" s="24"/>
    </row>
    <row r="147" spans="7:9" ht="12.75" x14ac:dyDescent="0.2">
      <c r="G147" s="24"/>
      <c r="H147" s="24"/>
      <c r="I147" s="24"/>
    </row>
    <row r="148" spans="7:9" ht="12.75" x14ac:dyDescent="0.2">
      <c r="G148" s="24"/>
      <c r="H148" s="24"/>
      <c r="I148" s="24"/>
    </row>
    <row r="149" spans="7:9" ht="12.75" x14ac:dyDescent="0.2">
      <c r="G149" s="24"/>
      <c r="H149" s="24"/>
      <c r="I149" s="24"/>
    </row>
    <row r="150" spans="7:9" ht="12.75" x14ac:dyDescent="0.2">
      <c r="G150" s="24"/>
      <c r="H150" s="24"/>
      <c r="I150" s="24"/>
    </row>
    <row r="151" spans="7:9" ht="12.75" x14ac:dyDescent="0.2">
      <c r="G151" s="24"/>
      <c r="H151" s="24"/>
      <c r="I151" s="24"/>
    </row>
    <row r="152" spans="7:9" ht="12.75" x14ac:dyDescent="0.2">
      <c r="G152" s="24"/>
      <c r="H152" s="24"/>
      <c r="I152" s="24"/>
    </row>
    <row r="153" spans="7:9" ht="12.75" x14ac:dyDescent="0.2">
      <c r="G153" s="24"/>
      <c r="H153" s="24"/>
      <c r="I153" s="24"/>
    </row>
    <row r="154" spans="7:9" ht="12.75" x14ac:dyDescent="0.2">
      <c r="G154" s="24"/>
      <c r="H154" s="24"/>
      <c r="I154" s="24"/>
    </row>
    <row r="155" spans="7:9" ht="12.75" x14ac:dyDescent="0.2">
      <c r="G155" s="24"/>
      <c r="H155" s="24"/>
      <c r="I155" s="24"/>
    </row>
    <row r="156" spans="7:9" ht="12.75" x14ac:dyDescent="0.2">
      <c r="G156" s="24"/>
      <c r="H156" s="24"/>
      <c r="I156" s="24"/>
    </row>
    <row r="157" spans="7:9" ht="12.75" x14ac:dyDescent="0.2">
      <c r="G157" s="24"/>
      <c r="H157" s="24"/>
      <c r="I157" s="24"/>
    </row>
    <row r="158" spans="7:9" ht="12.75" x14ac:dyDescent="0.2">
      <c r="G158" s="24"/>
      <c r="H158" s="24"/>
      <c r="I158" s="24"/>
    </row>
    <row r="159" spans="7:9" ht="12.75" x14ac:dyDescent="0.2">
      <c r="G159" s="24"/>
      <c r="H159" s="24"/>
      <c r="I159" s="24"/>
    </row>
    <row r="160" spans="7:9" ht="12.75" x14ac:dyDescent="0.2">
      <c r="G160" s="24"/>
      <c r="H160" s="24"/>
      <c r="I160" s="24"/>
    </row>
    <row r="161" spans="7:9" ht="12.75" x14ac:dyDescent="0.2">
      <c r="G161" s="24"/>
      <c r="H161" s="24"/>
      <c r="I161" s="24"/>
    </row>
    <row r="162" spans="7:9" ht="12.75" x14ac:dyDescent="0.2">
      <c r="G162" s="24"/>
      <c r="H162" s="24"/>
      <c r="I162" s="24"/>
    </row>
    <row r="163" spans="7:9" ht="12.75" x14ac:dyDescent="0.2">
      <c r="G163" s="24"/>
      <c r="H163" s="24"/>
      <c r="I163" s="24"/>
    </row>
    <row r="164" spans="7:9" ht="12.75" x14ac:dyDescent="0.2">
      <c r="G164" s="24"/>
      <c r="H164" s="24"/>
      <c r="I164" s="24"/>
    </row>
    <row r="165" spans="7:9" ht="12.75" x14ac:dyDescent="0.2">
      <c r="G165" s="24"/>
      <c r="H165" s="24"/>
      <c r="I165" s="24"/>
    </row>
    <row r="166" spans="7:9" ht="12.75" x14ac:dyDescent="0.2">
      <c r="G166" s="24"/>
      <c r="H166" s="24"/>
      <c r="I166" s="24"/>
    </row>
    <row r="167" spans="7:9" ht="12.75" x14ac:dyDescent="0.2">
      <c r="G167" s="24"/>
      <c r="H167" s="24"/>
      <c r="I167" s="24"/>
    </row>
    <row r="168" spans="7:9" ht="12.75" x14ac:dyDescent="0.2">
      <c r="G168" s="24"/>
      <c r="H168" s="24"/>
      <c r="I168" s="24"/>
    </row>
    <row r="169" spans="7:9" ht="12.75" x14ac:dyDescent="0.2">
      <c r="G169" s="24"/>
      <c r="H169" s="24"/>
      <c r="I169" s="24"/>
    </row>
    <row r="170" spans="7:9" ht="12.75" x14ac:dyDescent="0.2">
      <c r="G170" s="24"/>
      <c r="H170" s="24"/>
      <c r="I170" s="24"/>
    </row>
    <row r="171" spans="7:9" ht="12.75" x14ac:dyDescent="0.2">
      <c r="G171" s="24"/>
      <c r="H171" s="24"/>
      <c r="I171" s="24"/>
    </row>
    <row r="172" spans="7:9" ht="12.75" x14ac:dyDescent="0.2">
      <c r="G172" s="24"/>
      <c r="H172" s="24"/>
      <c r="I172" s="24"/>
    </row>
    <row r="173" spans="7:9" ht="12.75" x14ac:dyDescent="0.2">
      <c r="G173" s="24"/>
      <c r="H173" s="24"/>
      <c r="I173" s="24"/>
    </row>
    <row r="174" spans="7:9" ht="12.75" x14ac:dyDescent="0.2">
      <c r="G174" s="24"/>
      <c r="H174" s="24"/>
      <c r="I174" s="24"/>
    </row>
    <row r="175" spans="7:9" ht="12.75" x14ac:dyDescent="0.2">
      <c r="G175" s="24"/>
      <c r="H175" s="24"/>
      <c r="I175" s="24"/>
    </row>
    <row r="176" spans="7:9" ht="12.75" x14ac:dyDescent="0.2">
      <c r="G176" s="24"/>
      <c r="H176" s="24"/>
      <c r="I176" s="24"/>
    </row>
    <row r="177" spans="7:9" ht="12.75" x14ac:dyDescent="0.2">
      <c r="G177" s="24"/>
      <c r="H177" s="24"/>
      <c r="I177" s="24"/>
    </row>
    <row r="178" spans="7:9" ht="12.75" x14ac:dyDescent="0.2">
      <c r="G178" s="24"/>
      <c r="H178" s="24"/>
      <c r="I178" s="24"/>
    </row>
    <row r="179" spans="7:9" ht="12.75" x14ac:dyDescent="0.2">
      <c r="G179" s="24"/>
      <c r="H179" s="24"/>
      <c r="I179" s="24"/>
    </row>
    <row r="180" spans="7:9" ht="12.75" x14ac:dyDescent="0.2">
      <c r="G180" s="24"/>
      <c r="H180" s="24"/>
      <c r="I180" s="24"/>
    </row>
    <row r="181" spans="7:9" ht="12.75" x14ac:dyDescent="0.2">
      <c r="G181" s="24"/>
      <c r="H181" s="24"/>
      <c r="I181" s="24"/>
    </row>
    <row r="182" spans="7:9" ht="12.75" x14ac:dyDescent="0.2">
      <c r="G182" s="24"/>
      <c r="H182" s="24"/>
      <c r="I182" s="24"/>
    </row>
    <row r="183" spans="7:9" ht="12.75" x14ac:dyDescent="0.2">
      <c r="G183" s="24"/>
      <c r="H183" s="24"/>
      <c r="I183" s="24"/>
    </row>
    <row r="184" spans="7:9" ht="12.75" x14ac:dyDescent="0.2">
      <c r="G184" s="24"/>
      <c r="H184" s="24"/>
      <c r="I184" s="24"/>
    </row>
    <row r="185" spans="7:9" ht="12.75" x14ac:dyDescent="0.2">
      <c r="G185" s="24"/>
      <c r="H185" s="24"/>
      <c r="I185" s="24"/>
    </row>
    <row r="186" spans="7:9" ht="12.75" x14ac:dyDescent="0.2">
      <c r="G186" s="24"/>
      <c r="H186" s="24"/>
      <c r="I186" s="24"/>
    </row>
    <row r="187" spans="7:9" ht="12.75" x14ac:dyDescent="0.2">
      <c r="G187" s="24"/>
      <c r="H187" s="24"/>
      <c r="I187" s="24"/>
    </row>
    <row r="188" spans="7:9" ht="12.75" x14ac:dyDescent="0.2">
      <c r="G188" s="24"/>
      <c r="H188" s="24"/>
      <c r="I188" s="24"/>
    </row>
    <row r="189" spans="7:9" ht="12.75" x14ac:dyDescent="0.2">
      <c r="G189" s="24"/>
      <c r="H189" s="24"/>
      <c r="I189" s="24"/>
    </row>
    <row r="190" spans="7:9" ht="12.75" x14ac:dyDescent="0.2">
      <c r="G190" s="24"/>
      <c r="H190" s="24"/>
      <c r="I190" s="24"/>
    </row>
    <row r="191" spans="7:9" ht="12.75" x14ac:dyDescent="0.2">
      <c r="G191" s="24"/>
      <c r="H191" s="24"/>
      <c r="I191" s="24"/>
    </row>
    <row r="192" spans="7:9" ht="12.75" x14ac:dyDescent="0.2">
      <c r="G192" s="24"/>
      <c r="H192" s="24"/>
      <c r="I192" s="24"/>
    </row>
    <row r="193" spans="7:24" ht="12.75" x14ac:dyDescent="0.2">
      <c r="G193" s="24"/>
      <c r="H193" s="24"/>
      <c r="I193" s="24"/>
    </row>
    <row r="194" spans="7:24" ht="12.75" x14ac:dyDescent="0.2">
      <c r="G194" s="24"/>
      <c r="H194" s="24"/>
      <c r="I194" s="24"/>
    </row>
    <row r="195" spans="7:24" ht="12.75" x14ac:dyDescent="0.2">
      <c r="G195" s="24"/>
      <c r="H195" s="24"/>
      <c r="I195" s="24"/>
    </row>
    <row r="196" spans="7:24" ht="12.75" x14ac:dyDescent="0.2">
      <c r="G196" s="24"/>
      <c r="H196" s="24"/>
      <c r="I196" s="24"/>
    </row>
    <row r="197" spans="7:24" ht="12.75" x14ac:dyDescent="0.2">
      <c r="G197" s="24"/>
      <c r="H197" s="24"/>
      <c r="I197" s="24"/>
    </row>
    <row r="198" spans="7:24" ht="12.75" x14ac:dyDescent="0.2">
      <c r="G198" s="24"/>
      <c r="H198" s="24"/>
      <c r="I198" s="24"/>
    </row>
    <row r="199" spans="7:24" ht="12.75" x14ac:dyDescent="0.2">
      <c r="G199" s="24"/>
      <c r="H199" s="24"/>
      <c r="I199" s="24"/>
    </row>
    <row r="200" spans="7:24" ht="12.75" x14ac:dyDescent="0.2">
      <c r="G200" s="24"/>
      <c r="H200" s="24"/>
      <c r="I200" s="24"/>
      <c r="W200" s="25" t="str">
        <f ca="1">IFERROR(__xludf.DUMMYFUNCTION("QUERY(Arc_Raiders_Stats!A:J,""select Col1, avg(Col10) where Col1 is not null group by Col1 order by Col1 label Col1 'Date', avg(Col10) 'Avg Loot %'"",1)"),"Date")</f>
        <v>Date</v>
      </c>
      <c r="X200" s="80" t="s">
        <v>54</v>
      </c>
    </row>
    <row r="201" spans="7:24" ht="12.75" x14ac:dyDescent="0.2">
      <c r="G201" s="24"/>
      <c r="H201" s="24"/>
      <c r="I201" s="24"/>
      <c r="W201" s="26" cm="1">
        <f t="array" ref="W201:W208">_xlfn._xlws.SORT(_xlfn.UNIQUE(_xlfn._xlws.FILTER(Stats[Date],Stats[Date]&lt;&gt;"")))</f>
        <v>45969</v>
      </c>
      <c r="X201" cm="1">
        <f t="array" ref="X201:X208">AVERAGEIF(Stats[Date],_xlfn.ANCHORARRAY(W201),Stats[Loot Gained %])</f>
        <v>0.25445278422580048</v>
      </c>
    </row>
    <row r="202" spans="7:24" ht="12.75" x14ac:dyDescent="0.2">
      <c r="G202" s="24"/>
      <c r="H202" s="24"/>
      <c r="I202" s="24"/>
      <c r="W202" s="26">
        <v>45970</v>
      </c>
      <c r="X202">
        <v>0.53740585707829824</v>
      </c>
    </row>
    <row r="203" spans="7:24" ht="12.75" x14ac:dyDescent="0.2">
      <c r="G203" s="24"/>
      <c r="H203" s="24"/>
      <c r="I203" s="24"/>
      <c r="W203" s="26">
        <v>45971</v>
      </c>
      <c r="X203">
        <v>0.88711363296998658</v>
      </c>
    </row>
    <row r="204" spans="7:24" ht="12.75" x14ac:dyDescent="0.2">
      <c r="G204" s="24"/>
      <c r="H204" s="24"/>
      <c r="I204" s="24"/>
      <c r="W204" s="26">
        <v>45972</v>
      </c>
      <c r="X204">
        <v>8.0778451071896004E-2</v>
      </c>
    </row>
    <row r="205" spans="7:24" ht="12.75" x14ac:dyDescent="0.2">
      <c r="G205" s="24"/>
      <c r="H205" s="24"/>
      <c r="I205" s="24"/>
      <c r="W205" s="26">
        <v>45973</v>
      </c>
      <c r="X205">
        <v>0.53408041552077712</v>
      </c>
    </row>
    <row r="206" spans="7:24" ht="12.75" x14ac:dyDescent="0.2">
      <c r="G206" s="24"/>
      <c r="H206" s="24"/>
      <c r="I206" s="24"/>
      <c r="W206" s="26">
        <v>45975</v>
      </c>
      <c r="X206">
        <v>1.1880319254602596</v>
      </c>
    </row>
    <row r="207" spans="7:24" ht="12.75" x14ac:dyDescent="0.2">
      <c r="G207" s="24"/>
      <c r="H207" s="24"/>
      <c r="I207" s="24"/>
      <c r="W207" s="26">
        <v>45976</v>
      </c>
      <c r="X207">
        <v>0.25983574839525714</v>
      </c>
    </row>
    <row r="208" spans="7:24" ht="12.75" x14ac:dyDescent="0.2">
      <c r="G208" s="24"/>
      <c r="H208" s="24"/>
      <c r="I208" s="24"/>
      <c r="W208" s="26">
        <v>45979</v>
      </c>
      <c r="X208">
        <v>-3.7523116912060693E-2</v>
      </c>
    </row>
    <row r="209" spans="7:9" ht="12.75" x14ac:dyDescent="0.2">
      <c r="G209" s="24"/>
      <c r="H209" s="24"/>
      <c r="I209" s="24"/>
    </row>
    <row r="210" spans="7:9" ht="12.75" x14ac:dyDescent="0.2">
      <c r="G210" s="24"/>
      <c r="H210" s="24"/>
      <c r="I210" s="24"/>
    </row>
    <row r="211" spans="7:9" ht="12.75" x14ac:dyDescent="0.2">
      <c r="G211" s="24"/>
      <c r="H211" s="24"/>
      <c r="I211" s="24"/>
    </row>
    <row r="212" spans="7:9" ht="12.75" x14ac:dyDescent="0.2">
      <c r="G212" s="24"/>
      <c r="H212" s="24"/>
      <c r="I212" s="24"/>
    </row>
    <row r="213" spans="7:9" ht="12.75" x14ac:dyDescent="0.2">
      <c r="G213" s="24"/>
      <c r="H213" s="24"/>
      <c r="I213" s="24"/>
    </row>
    <row r="214" spans="7:9" ht="12.75" x14ac:dyDescent="0.2">
      <c r="G214" s="24"/>
      <c r="H214" s="24"/>
      <c r="I214" s="24"/>
    </row>
    <row r="215" spans="7:9" ht="12.75" x14ac:dyDescent="0.2">
      <c r="G215" s="24"/>
      <c r="H215" s="24"/>
      <c r="I215" s="24"/>
    </row>
    <row r="216" spans="7:9" ht="12.75" x14ac:dyDescent="0.2">
      <c r="G216" s="24"/>
      <c r="H216" s="24"/>
      <c r="I216" s="24"/>
    </row>
    <row r="217" spans="7:9" ht="12.75" x14ac:dyDescent="0.2">
      <c r="G217" s="24"/>
      <c r="H217" s="24"/>
      <c r="I217" s="24"/>
    </row>
    <row r="218" spans="7:9" ht="12.75" x14ac:dyDescent="0.2">
      <c r="G218" s="24"/>
      <c r="H218" s="24"/>
      <c r="I218" s="24"/>
    </row>
    <row r="219" spans="7:9" ht="12.75" x14ac:dyDescent="0.2">
      <c r="G219" s="24"/>
      <c r="H219" s="24"/>
      <c r="I219" s="24"/>
    </row>
    <row r="220" spans="7:9" ht="12.75" x14ac:dyDescent="0.2">
      <c r="G220" s="24"/>
      <c r="H220" s="24"/>
      <c r="I220" s="24"/>
    </row>
    <row r="221" spans="7:9" ht="12.75" x14ac:dyDescent="0.2">
      <c r="G221" s="24"/>
      <c r="H221" s="24"/>
      <c r="I221" s="24"/>
    </row>
    <row r="222" spans="7:9" ht="12.75" x14ac:dyDescent="0.2">
      <c r="G222" s="24"/>
      <c r="H222" s="24"/>
      <c r="I222" s="24"/>
    </row>
    <row r="223" spans="7:9" ht="12.75" x14ac:dyDescent="0.2">
      <c r="G223" s="24"/>
      <c r="H223" s="24"/>
      <c r="I223" s="24"/>
    </row>
    <row r="224" spans="7:9" ht="12.75" x14ac:dyDescent="0.2">
      <c r="G224" s="24"/>
      <c r="H224" s="24"/>
      <c r="I224" s="24"/>
    </row>
    <row r="225" spans="7:9" ht="12.75" x14ac:dyDescent="0.2">
      <c r="G225" s="24"/>
      <c r="H225" s="24"/>
      <c r="I225" s="24"/>
    </row>
    <row r="226" spans="7:9" ht="12.75" x14ac:dyDescent="0.2">
      <c r="G226" s="24"/>
      <c r="H226" s="24"/>
      <c r="I226" s="24"/>
    </row>
    <row r="227" spans="7:9" ht="12.75" x14ac:dyDescent="0.2">
      <c r="G227" s="24"/>
      <c r="H227" s="24"/>
      <c r="I227" s="24"/>
    </row>
    <row r="228" spans="7:9" ht="12.75" x14ac:dyDescent="0.2">
      <c r="G228" s="24"/>
      <c r="H228" s="24"/>
      <c r="I228" s="24"/>
    </row>
    <row r="229" spans="7:9" ht="12.75" x14ac:dyDescent="0.2">
      <c r="G229" s="24"/>
      <c r="H229" s="24"/>
      <c r="I229" s="24"/>
    </row>
    <row r="230" spans="7:9" ht="12.75" x14ac:dyDescent="0.2">
      <c r="G230" s="24"/>
      <c r="H230" s="24"/>
      <c r="I230" s="24"/>
    </row>
    <row r="231" spans="7:9" ht="12.75" x14ac:dyDescent="0.2">
      <c r="G231" s="24"/>
      <c r="H231" s="24"/>
      <c r="I231" s="24"/>
    </row>
    <row r="232" spans="7:9" ht="12.75" x14ac:dyDescent="0.2">
      <c r="G232" s="24"/>
      <c r="H232" s="24"/>
      <c r="I232" s="24"/>
    </row>
    <row r="233" spans="7:9" ht="12.75" x14ac:dyDescent="0.2">
      <c r="G233" s="24"/>
      <c r="H233" s="24"/>
      <c r="I233" s="24"/>
    </row>
    <row r="234" spans="7:9" ht="12.75" x14ac:dyDescent="0.2">
      <c r="G234" s="24"/>
      <c r="H234" s="24"/>
      <c r="I234" s="24"/>
    </row>
    <row r="235" spans="7:9" ht="12.75" x14ac:dyDescent="0.2">
      <c r="G235" s="24"/>
      <c r="H235" s="24"/>
      <c r="I235" s="24"/>
    </row>
    <row r="236" spans="7:9" ht="12.75" x14ac:dyDescent="0.2">
      <c r="G236" s="24"/>
      <c r="H236" s="24"/>
      <c r="I236" s="24"/>
    </row>
    <row r="237" spans="7:9" ht="12.75" x14ac:dyDescent="0.2">
      <c r="G237" s="24"/>
      <c r="H237" s="24"/>
      <c r="I237" s="24"/>
    </row>
    <row r="238" spans="7:9" ht="12.75" x14ac:dyDescent="0.2">
      <c r="G238" s="24"/>
      <c r="H238" s="24"/>
      <c r="I238" s="24"/>
    </row>
    <row r="239" spans="7:9" ht="12.75" x14ac:dyDescent="0.2">
      <c r="G239" s="24"/>
      <c r="H239" s="24"/>
      <c r="I239" s="24"/>
    </row>
    <row r="240" spans="7:9" ht="12.75" x14ac:dyDescent="0.2">
      <c r="G240" s="24"/>
      <c r="H240" s="24"/>
      <c r="I240" s="24"/>
    </row>
    <row r="241" spans="7:9" ht="12.75" x14ac:dyDescent="0.2">
      <c r="G241" s="24"/>
      <c r="H241" s="24"/>
      <c r="I241" s="24"/>
    </row>
    <row r="242" spans="7:9" ht="12.75" x14ac:dyDescent="0.2">
      <c r="G242" s="24"/>
      <c r="H242" s="24"/>
      <c r="I242" s="24"/>
    </row>
    <row r="243" spans="7:9" ht="12.75" x14ac:dyDescent="0.2">
      <c r="G243" s="24"/>
      <c r="H243" s="24"/>
      <c r="I243" s="24"/>
    </row>
    <row r="244" spans="7:9" ht="12.75" x14ac:dyDescent="0.2">
      <c r="G244" s="24"/>
      <c r="H244" s="24"/>
      <c r="I244" s="24"/>
    </row>
    <row r="245" spans="7:9" ht="12.75" x14ac:dyDescent="0.2">
      <c r="G245" s="24"/>
      <c r="H245" s="24"/>
      <c r="I245" s="24"/>
    </row>
    <row r="246" spans="7:9" ht="12.75" x14ac:dyDescent="0.2">
      <c r="G246" s="24"/>
      <c r="H246" s="24"/>
      <c r="I246" s="24"/>
    </row>
    <row r="247" spans="7:9" ht="12.75" x14ac:dyDescent="0.2">
      <c r="G247" s="24"/>
      <c r="H247" s="24"/>
      <c r="I247" s="24"/>
    </row>
    <row r="248" spans="7:9" ht="12.75" x14ac:dyDescent="0.2">
      <c r="G248" s="24"/>
      <c r="H248" s="24"/>
      <c r="I248" s="24"/>
    </row>
    <row r="249" spans="7:9" ht="12.75" x14ac:dyDescent="0.2">
      <c r="G249" s="24"/>
      <c r="H249" s="24"/>
      <c r="I249" s="24"/>
    </row>
    <row r="250" spans="7:9" ht="12.75" x14ac:dyDescent="0.2">
      <c r="G250" s="24"/>
      <c r="H250" s="24"/>
      <c r="I250" s="24"/>
    </row>
    <row r="251" spans="7:9" ht="12.75" x14ac:dyDescent="0.2">
      <c r="G251" s="24"/>
      <c r="H251" s="24"/>
      <c r="I251" s="24"/>
    </row>
    <row r="252" spans="7:9" ht="12.75" x14ac:dyDescent="0.2">
      <c r="G252" s="24"/>
      <c r="H252" s="24"/>
      <c r="I252" s="24"/>
    </row>
    <row r="253" spans="7:9" ht="12.75" x14ac:dyDescent="0.2">
      <c r="G253" s="24"/>
      <c r="H253" s="24"/>
      <c r="I253" s="24"/>
    </row>
    <row r="254" spans="7:9" ht="12.75" x14ac:dyDescent="0.2">
      <c r="G254" s="24"/>
      <c r="H254" s="24"/>
      <c r="I254" s="24"/>
    </row>
    <row r="255" spans="7:9" ht="12.75" x14ac:dyDescent="0.2">
      <c r="G255" s="24"/>
      <c r="H255" s="24"/>
      <c r="I255" s="24"/>
    </row>
    <row r="256" spans="7:9" ht="12.75" x14ac:dyDescent="0.2">
      <c r="G256" s="24"/>
      <c r="H256" s="24"/>
      <c r="I256" s="24"/>
    </row>
    <row r="257" spans="7:9" ht="12.75" x14ac:dyDescent="0.2">
      <c r="G257" s="24"/>
      <c r="H257" s="24"/>
      <c r="I257" s="24"/>
    </row>
    <row r="258" spans="7:9" ht="12.75" x14ac:dyDescent="0.2">
      <c r="G258" s="24"/>
      <c r="H258" s="24"/>
      <c r="I258" s="24"/>
    </row>
    <row r="259" spans="7:9" ht="12.75" x14ac:dyDescent="0.2">
      <c r="G259" s="24"/>
      <c r="H259" s="24"/>
      <c r="I259" s="24"/>
    </row>
    <row r="260" spans="7:9" ht="12.75" x14ac:dyDescent="0.2">
      <c r="G260" s="24"/>
      <c r="H260" s="24"/>
      <c r="I260" s="24"/>
    </row>
    <row r="261" spans="7:9" ht="12.75" x14ac:dyDescent="0.2">
      <c r="G261" s="24"/>
      <c r="H261" s="24"/>
      <c r="I261" s="24"/>
    </row>
    <row r="262" spans="7:9" ht="12.75" x14ac:dyDescent="0.2">
      <c r="G262" s="24"/>
      <c r="H262" s="24"/>
      <c r="I262" s="24"/>
    </row>
    <row r="263" spans="7:9" ht="12.75" x14ac:dyDescent="0.2">
      <c r="G263" s="24"/>
      <c r="H263" s="24"/>
      <c r="I263" s="24"/>
    </row>
    <row r="264" spans="7:9" ht="12.75" x14ac:dyDescent="0.2">
      <c r="G264" s="24"/>
      <c r="H264" s="24"/>
      <c r="I264" s="24"/>
    </row>
    <row r="265" spans="7:9" ht="12.75" x14ac:dyDescent="0.2">
      <c r="G265" s="24"/>
      <c r="H265" s="24"/>
      <c r="I265" s="24"/>
    </row>
    <row r="266" spans="7:9" ht="12.75" x14ac:dyDescent="0.2">
      <c r="G266" s="24"/>
      <c r="H266" s="24"/>
      <c r="I266" s="24"/>
    </row>
    <row r="267" spans="7:9" ht="12.75" x14ac:dyDescent="0.2">
      <c r="G267" s="24"/>
      <c r="H267" s="24"/>
      <c r="I267" s="24"/>
    </row>
    <row r="268" spans="7:9" ht="12.75" x14ac:dyDescent="0.2">
      <c r="G268" s="24"/>
      <c r="H268" s="24"/>
      <c r="I268" s="24"/>
    </row>
    <row r="269" spans="7:9" ht="12.75" x14ac:dyDescent="0.2">
      <c r="G269" s="24"/>
      <c r="H269" s="24"/>
      <c r="I269" s="24"/>
    </row>
    <row r="270" spans="7:9" ht="12.75" x14ac:dyDescent="0.2">
      <c r="G270" s="24"/>
      <c r="H270" s="24"/>
      <c r="I270" s="24"/>
    </row>
    <row r="271" spans="7:9" ht="12.75" x14ac:dyDescent="0.2">
      <c r="G271" s="24"/>
      <c r="H271" s="24"/>
      <c r="I271" s="24"/>
    </row>
    <row r="272" spans="7:9" ht="12.75" x14ac:dyDescent="0.2">
      <c r="G272" s="24"/>
      <c r="H272" s="24"/>
      <c r="I272" s="24"/>
    </row>
    <row r="273" spans="7:9" ht="12.75" x14ac:dyDescent="0.2">
      <c r="G273" s="24"/>
      <c r="H273" s="24"/>
      <c r="I273" s="24"/>
    </row>
    <row r="274" spans="7:9" ht="12.75" x14ac:dyDescent="0.2">
      <c r="G274" s="24"/>
      <c r="H274" s="24"/>
      <c r="I274" s="24"/>
    </row>
    <row r="275" spans="7:9" ht="12.75" x14ac:dyDescent="0.2">
      <c r="G275" s="24"/>
      <c r="H275" s="24"/>
      <c r="I275" s="24"/>
    </row>
    <row r="276" spans="7:9" ht="12.75" x14ac:dyDescent="0.2">
      <c r="G276" s="24"/>
      <c r="H276" s="24"/>
      <c r="I276" s="24"/>
    </row>
    <row r="277" spans="7:9" ht="12.75" x14ac:dyDescent="0.2">
      <c r="G277" s="24"/>
      <c r="H277" s="24"/>
      <c r="I277" s="24"/>
    </row>
    <row r="278" spans="7:9" ht="12.75" x14ac:dyDescent="0.2">
      <c r="G278" s="24"/>
      <c r="H278" s="24"/>
      <c r="I278" s="24"/>
    </row>
    <row r="279" spans="7:9" ht="12.75" x14ac:dyDescent="0.2">
      <c r="G279" s="24"/>
      <c r="H279" s="24"/>
      <c r="I279" s="24"/>
    </row>
    <row r="280" spans="7:9" ht="12.75" x14ac:dyDescent="0.2">
      <c r="G280" s="24"/>
      <c r="H280" s="24"/>
      <c r="I280" s="24"/>
    </row>
    <row r="281" spans="7:9" ht="12.75" x14ac:dyDescent="0.2">
      <c r="G281" s="24"/>
      <c r="H281" s="24"/>
      <c r="I281" s="24"/>
    </row>
    <row r="282" spans="7:9" ht="12.75" x14ac:dyDescent="0.2">
      <c r="G282" s="24"/>
      <c r="H282" s="24"/>
      <c r="I282" s="24"/>
    </row>
    <row r="283" spans="7:9" ht="12.75" x14ac:dyDescent="0.2">
      <c r="G283" s="24"/>
      <c r="H283" s="24"/>
      <c r="I283" s="24"/>
    </row>
    <row r="284" spans="7:9" ht="12.75" x14ac:dyDescent="0.2">
      <c r="G284" s="24"/>
      <c r="H284" s="24"/>
      <c r="I284" s="24"/>
    </row>
    <row r="285" spans="7:9" ht="12.75" x14ac:dyDescent="0.2">
      <c r="G285" s="24"/>
      <c r="H285" s="24"/>
      <c r="I285" s="24"/>
    </row>
    <row r="286" spans="7:9" ht="12.75" x14ac:dyDescent="0.2">
      <c r="G286" s="24"/>
      <c r="H286" s="24"/>
      <c r="I286" s="24"/>
    </row>
    <row r="287" spans="7:9" ht="12.75" x14ac:dyDescent="0.2">
      <c r="G287" s="24"/>
      <c r="H287" s="24"/>
      <c r="I287" s="24"/>
    </row>
    <row r="288" spans="7:9" ht="12.75" x14ac:dyDescent="0.2">
      <c r="G288" s="24"/>
      <c r="H288" s="24"/>
      <c r="I288" s="24"/>
    </row>
    <row r="289" spans="7:9" ht="12.75" x14ac:dyDescent="0.2">
      <c r="G289" s="24"/>
      <c r="H289" s="24"/>
      <c r="I289" s="24"/>
    </row>
    <row r="290" spans="7:9" ht="12.75" x14ac:dyDescent="0.2">
      <c r="G290" s="24"/>
      <c r="H290" s="24"/>
      <c r="I290" s="24"/>
    </row>
    <row r="291" spans="7:9" ht="12.75" x14ac:dyDescent="0.2">
      <c r="G291" s="24"/>
      <c r="H291" s="24"/>
      <c r="I291" s="24"/>
    </row>
    <row r="292" spans="7:9" ht="12.75" x14ac:dyDescent="0.2">
      <c r="G292" s="24"/>
      <c r="H292" s="24"/>
      <c r="I292" s="24"/>
    </row>
    <row r="293" spans="7:9" ht="12.75" x14ac:dyDescent="0.2">
      <c r="G293" s="24"/>
      <c r="H293" s="24"/>
      <c r="I293" s="24"/>
    </row>
    <row r="294" spans="7:9" ht="12.75" x14ac:dyDescent="0.2">
      <c r="G294" s="24"/>
      <c r="H294" s="24"/>
      <c r="I294" s="24"/>
    </row>
    <row r="295" spans="7:9" ht="12.75" x14ac:dyDescent="0.2">
      <c r="G295" s="24"/>
      <c r="H295" s="24"/>
      <c r="I295" s="24"/>
    </row>
    <row r="296" spans="7:9" ht="12.75" x14ac:dyDescent="0.2">
      <c r="G296" s="24"/>
      <c r="H296" s="24"/>
      <c r="I296" s="24"/>
    </row>
    <row r="297" spans="7:9" ht="12.75" x14ac:dyDescent="0.2">
      <c r="G297" s="24"/>
      <c r="H297" s="24"/>
      <c r="I297" s="24"/>
    </row>
    <row r="298" spans="7:9" ht="12.75" x14ac:dyDescent="0.2">
      <c r="G298" s="24"/>
      <c r="H298" s="24"/>
      <c r="I298" s="24"/>
    </row>
    <row r="299" spans="7:9" ht="12.75" x14ac:dyDescent="0.2">
      <c r="G299" s="24"/>
      <c r="H299" s="24"/>
      <c r="I299" s="24"/>
    </row>
    <row r="300" spans="7:9" ht="12.75" x14ac:dyDescent="0.2">
      <c r="G300" s="24"/>
      <c r="H300" s="24"/>
      <c r="I300" s="24"/>
    </row>
    <row r="301" spans="7:9" ht="12.75" x14ac:dyDescent="0.2">
      <c r="G301" s="24"/>
      <c r="H301" s="24"/>
      <c r="I301" s="24"/>
    </row>
    <row r="302" spans="7:9" ht="12.75" x14ac:dyDescent="0.2">
      <c r="G302" s="24"/>
      <c r="H302" s="24"/>
      <c r="I302" s="24"/>
    </row>
    <row r="303" spans="7:9" ht="12.75" x14ac:dyDescent="0.2">
      <c r="G303" s="24"/>
      <c r="H303" s="24"/>
      <c r="I303" s="24"/>
    </row>
    <row r="304" spans="7:9" ht="12.75" x14ac:dyDescent="0.2">
      <c r="G304" s="24"/>
      <c r="H304" s="24"/>
      <c r="I304" s="24"/>
    </row>
    <row r="305" spans="7:9" ht="12.75" x14ac:dyDescent="0.2">
      <c r="G305" s="24"/>
      <c r="H305" s="24"/>
      <c r="I305" s="24"/>
    </row>
    <row r="306" spans="7:9" ht="12.75" x14ac:dyDescent="0.2">
      <c r="G306" s="24"/>
      <c r="H306" s="24"/>
      <c r="I306" s="24"/>
    </row>
    <row r="307" spans="7:9" ht="12.75" x14ac:dyDescent="0.2">
      <c r="G307" s="24"/>
      <c r="H307" s="24"/>
      <c r="I307" s="24"/>
    </row>
    <row r="308" spans="7:9" ht="12.75" x14ac:dyDescent="0.2">
      <c r="G308" s="24"/>
      <c r="H308" s="24"/>
      <c r="I308" s="24"/>
    </row>
    <row r="309" spans="7:9" ht="12.75" x14ac:dyDescent="0.2">
      <c r="G309" s="24"/>
      <c r="H309" s="24"/>
      <c r="I309" s="24"/>
    </row>
    <row r="310" spans="7:9" ht="12.75" x14ac:dyDescent="0.2">
      <c r="G310" s="24"/>
      <c r="H310" s="24"/>
      <c r="I310" s="24"/>
    </row>
    <row r="311" spans="7:9" ht="12.75" x14ac:dyDescent="0.2">
      <c r="G311" s="24"/>
      <c r="H311" s="24"/>
      <c r="I311" s="24"/>
    </row>
    <row r="312" spans="7:9" ht="12.75" x14ac:dyDescent="0.2">
      <c r="G312" s="24"/>
      <c r="H312" s="24"/>
      <c r="I312" s="24"/>
    </row>
    <row r="313" spans="7:9" ht="12.75" x14ac:dyDescent="0.2">
      <c r="G313" s="24"/>
      <c r="H313" s="24"/>
      <c r="I313" s="24"/>
    </row>
    <row r="314" spans="7:9" ht="12.75" x14ac:dyDescent="0.2">
      <c r="G314" s="24"/>
      <c r="H314" s="24"/>
      <c r="I314" s="24"/>
    </row>
    <row r="315" spans="7:9" ht="12.75" x14ac:dyDescent="0.2">
      <c r="G315" s="24"/>
      <c r="H315" s="24"/>
      <c r="I315" s="24"/>
    </row>
    <row r="316" spans="7:9" ht="12.75" x14ac:dyDescent="0.2">
      <c r="G316" s="24"/>
      <c r="H316" s="24"/>
      <c r="I316" s="24"/>
    </row>
    <row r="317" spans="7:9" ht="12.75" x14ac:dyDescent="0.2">
      <c r="G317" s="24"/>
      <c r="H317" s="24"/>
      <c r="I317" s="24"/>
    </row>
    <row r="318" spans="7:9" ht="12.75" x14ac:dyDescent="0.2">
      <c r="G318" s="24"/>
      <c r="H318" s="24"/>
      <c r="I318" s="24"/>
    </row>
    <row r="319" spans="7:9" ht="12.75" x14ac:dyDescent="0.2">
      <c r="G319" s="24"/>
      <c r="H319" s="24"/>
      <c r="I319" s="24"/>
    </row>
    <row r="320" spans="7:9" ht="12.75" x14ac:dyDescent="0.2">
      <c r="G320" s="24"/>
      <c r="H320" s="24"/>
      <c r="I320" s="24"/>
    </row>
    <row r="321" spans="7:9" ht="12.75" x14ac:dyDescent="0.2">
      <c r="G321" s="24"/>
      <c r="H321" s="24"/>
      <c r="I321" s="24"/>
    </row>
    <row r="322" spans="7:9" ht="12.75" x14ac:dyDescent="0.2">
      <c r="G322" s="24"/>
      <c r="H322" s="24"/>
      <c r="I322" s="24"/>
    </row>
    <row r="323" spans="7:9" ht="12.75" x14ac:dyDescent="0.2">
      <c r="G323" s="24"/>
      <c r="H323" s="24"/>
      <c r="I323" s="24"/>
    </row>
    <row r="324" spans="7:9" ht="12.75" x14ac:dyDescent="0.2">
      <c r="G324" s="24"/>
      <c r="H324" s="24"/>
      <c r="I324" s="24"/>
    </row>
    <row r="325" spans="7:9" ht="12.75" x14ac:dyDescent="0.2">
      <c r="G325" s="24"/>
      <c r="H325" s="24"/>
      <c r="I325" s="24"/>
    </row>
    <row r="326" spans="7:9" ht="12.75" x14ac:dyDescent="0.2">
      <c r="G326" s="24"/>
      <c r="H326" s="24"/>
      <c r="I326" s="24"/>
    </row>
    <row r="327" spans="7:9" ht="12.75" x14ac:dyDescent="0.2">
      <c r="G327" s="24"/>
      <c r="H327" s="24"/>
      <c r="I327" s="24"/>
    </row>
    <row r="328" spans="7:9" ht="12.75" x14ac:dyDescent="0.2">
      <c r="G328" s="24"/>
      <c r="H328" s="24"/>
      <c r="I328" s="24"/>
    </row>
    <row r="329" spans="7:9" ht="12.75" x14ac:dyDescent="0.2">
      <c r="G329" s="24"/>
      <c r="H329" s="24"/>
      <c r="I329" s="24"/>
    </row>
    <row r="330" spans="7:9" ht="12.75" x14ac:dyDescent="0.2">
      <c r="G330" s="24"/>
      <c r="H330" s="24"/>
      <c r="I330" s="24"/>
    </row>
    <row r="331" spans="7:9" ht="12.75" x14ac:dyDescent="0.2">
      <c r="G331" s="24"/>
      <c r="H331" s="24"/>
      <c r="I331" s="24"/>
    </row>
    <row r="332" spans="7:9" ht="12.75" x14ac:dyDescent="0.2">
      <c r="G332" s="24"/>
      <c r="H332" s="24"/>
      <c r="I332" s="24"/>
    </row>
    <row r="333" spans="7:9" ht="12.75" x14ac:dyDescent="0.2">
      <c r="G333" s="24"/>
      <c r="H333" s="24"/>
      <c r="I333" s="24"/>
    </row>
    <row r="334" spans="7:9" ht="12.75" x14ac:dyDescent="0.2">
      <c r="G334" s="24"/>
      <c r="H334" s="24"/>
      <c r="I334" s="24"/>
    </row>
    <row r="335" spans="7:9" ht="12.75" x14ac:dyDescent="0.2">
      <c r="G335" s="24"/>
      <c r="H335" s="24"/>
      <c r="I335" s="24"/>
    </row>
    <row r="336" spans="7:9" ht="12.75" x14ac:dyDescent="0.2">
      <c r="G336" s="24"/>
      <c r="H336" s="24"/>
      <c r="I336" s="24"/>
    </row>
    <row r="337" spans="7:9" ht="12.75" x14ac:dyDescent="0.2">
      <c r="G337" s="24"/>
      <c r="H337" s="24"/>
      <c r="I337" s="24"/>
    </row>
    <row r="338" spans="7:9" ht="12.75" x14ac:dyDescent="0.2">
      <c r="G338" s="24"/>
      <c r="H338" s="24"/>
      <c r="I338" s="24"/>
    </row>
    <row r="339" spans="7:9" ht="12.75" x14ac:dyDescent="0.2">
      <c r="G339" s="24"/>
      <c r="H339" s="24"/>
      <c r="I339" s="24"/>
    </row>
    <row r="340" spans="7:9" ht="12.75" x14ac:dyDescent="0.2">
      <c r="G340" s="24"/>
      <c r="H340" s="24"/>
      <c r="I340" s="24"/>
    </row>
    <row r="341" spans="7:9" ht="12.75" x14ac:dyDescent="0.2">
      <c r="G341" s="24"/>
      <c r="H341" s="24"/>
      <c r="I341" s="24"/>
    </row>
    <row r="342" spans="7:9" ht="12.75" x14ac:dyDescent="0.2">
      <c r="G342" s="24"/>
      <c r="H342" s="24"/>
      <c r="I342" s="24"/>
    </row>
    <row r="343" spans="7:9" ht="12.75" x14ac:dyDescent="0.2">
      <c r="G343" s="24"/>
      <c r="H343" s="24"/>
      <c r="I343" s="24"/>
    </row>
    <row r="344" spans="7:9" ht="12.75" x14ac:dyDescent="0.2">
      <c r="G344" s="24"/>
      <c r="H344" s="24"/>
      <c r="I344" s="24"/>
    </row>
    <row r="345" spans="7:9" ht="12.75" x14ac:dyDescent="0.2">
      <c r="G345" s="24"/>
      <c r="H345" s="24"/>
      <c r="I345" s="24"/>
    </row>
    <row r="346" spans="7:9" ht="12.75" x14ac:dyDescent="0.2">
      <c r="G346" s="24"/>
      <c r="H346" s="24"/>
      <c r="I346" s="24"/>
    </row>
    <row r="347" spans="7:9" ht="12.75" x14ac:dyDescent="0.2">
      <c r="G347" s="24"/>
      <c r="H347" s="24"/>
      <c r="I347" s="24"/>
    </row>
    <row r="348" spans="7:9" ht="12.75" x14ac:dyDescent="0.2">
      <c r="G348" s="24"/>
      <c r="H348" s="24"/>
      <c r="I348" s="24"/>
    </row>
    <row r="349" spans="7:9" ht="12.75" x14ac:dyDescent="0.2">
      <c r="G349" s="24"/>
      <c r="H349" s="24"/>
      <c r="I349" s="24"/>
    </row>
    <row r="350" spans="7:9" ht="12.75" x14ac:dyDescent="0.2">
      <c r="G350" s="24"/>
      <c r="H350" s="24"/>
      <c r="I350" s="24"/>
    </row>
    <row r="351" spans="7:9" ht="12.75" x14ac:dyDescent="0.2">
      <c r="G351" s="24"/>
      <c r="H351" s="24"/>
      <c r="I351" s="24"/>
    </row>
    <row r="352" spans="7:9" ht="12.75" x14ac:dyDescent="0.2">
      <c r="G352" s="24"/>
      <c r="H352" s="24"/>
      <c r="I352" s="24"/>
    </row>
    <row r="353" spans="7:9" ht="12.75" x14ac:dyDescent="0.2">
      <c r="G353" s="24"/>
      <c r="H353" s="24"/>
      <c r="I353" s="24"/>
    </row>
    <row r="354" spans="7:9" ht="12.75" x14ac:dyDescent="0.2">
      <c r="G354" s="24"/>
      <c r="H354" s="24"/>
      <c r="I354" s="24"/>
    </row>
    <row r="355" spans="7:9" ht="12.75" x14ac:dyDescent="0.2">
      <c r="G355" s="24"/>
      <c r="H355" s="24"/>
      <c r="I355" s="24"/>
    </row>
    <row r="356" spans="7:9" ht="12.75" x14ac:dyDescent="0.2">
      <c r="G356" s="24"/>
      <c r="H356" s="24"/>
      <c r="I356" s="24"/>
    </row>
    <row r="357" spans="7:9" ht="12.75" x14ac:dyDescent="0.2">
      <c r="G357" s="24"/>
      <c r="H357" s="24"/>
      <c r="I357" s="24"/>
    </row>
    <row r="358" spans="7:9" ht="12.75" x14ac:dyDescent="0.2">
      <c r="G358" s="24"/>
      <c r="H358" s="24"/>
      <c r="I358" s="24"/>
    </row>
    <row r="359" spans="7:9" ht="12.75" x14ac:dyDescent="0.2">
      <c r="G359" s="24"/>
      <c r="H359" s="24"/>
      <c r="I359" s="24"/>
    </row>
    <row r="360" spans="7:9" ht="12.75" x14ac:dyDescent="0.2">
      <c r="G360" s="24"/>
      <c r="H360" s="24"/>
      <c r="I360" s="24"/>
    </row>
    <row r="361" spans="7:9" ht="12.75" x14ac:dyDescent="0.2">
      <c r="G361" s="24"/>
      <c r="H361" s="24"/>
      <c r="I361" s="24"/>
    </row>
    <row r="362" spans="7:9" ht="12.75" x14ac:dyDescent="0.2">
      <c r="G362" s="24"/>
      <c r="H362" s="24"/>
      <c r="I362" s="24"/>
    </row>
    <row r="363" spans="7:9" ht="12.75" x14ac:dyDescent="0.2">
      <c r="G363" s="24"/>
      <c r="H363" s="24"/>
      <c r="I363" s="24"/>
    </row>
    <row r="364" spans="7:9" ht="12.75" x14ac:dyDescent="0.2">
      <c r="G364" s="24"/>
      <c r="H364" s="24"/>
      <c r="I364" s="24"/>
    </row>
    <row r="365" spans="7:9" ht="12.75" x14ac:dyDescent="0.2">
      <c r="G365" s="24"/>
      <c r="H365" s="24"/>
      <c r="I365" s="24"/>
    </row>
    <row r="366" spans="7:9" ht="12.75" x14ac:dyDescent="0.2">
      <c r="G366" s="24"/>
      <c r="H366" s="24"/>
      <c r="I366" s="24"/>
    </row>
    <row r="367" spans="7:9" ht="12.75" x14ac:dyDescent="0.2">
      <c r="G367" s="24"/>
      <c r="H367" s="24"/>
      <c r="I367" s="24"/>
    </row>
    <row r="368" spans="7:9" ht="12.75" x14ac:dyDescent="0.2">
      <c r="G368" s="24"/>
      <c r="H368" s="24"/>
      <c r="I368" s="24"/>
    </row>
    <row r="369" spans="7:9" ht="12.75" x14ac:dyDescent="0.2">
      <c r="G369" s="24"/>
      <c r="H369" s="24"/>
      <c r="I369" s="24"/>
    </row>
    <row r="370" spans="7:9" ht="12.75" x14ac:dyDescent="0.2">
      <c r="G370" s="24"/>
      <c r="H370" s="24"/>
      <c r="I370" s="24"/>
    </row>
    <row r="371" spans="7:9" ht="12.75" x14ac:dyDescent="0.2">
      <c r="G371" s="24"/>
      <c r="H371" s="24"/>
      <c r="I371" s="24"/>
    </row>
    <row r="372" spans="7:9" ht="12.75" x14ac:dyDescent="0.2">
      <c r="G372" s="24"/>
      <c r="H372" s="24"/>
      <c r="I372" s="24"/>
    </row>
    <row r="373" spans="7:9" ht="12.75" x14ac:dyDescent="0.2">
      <c r="G373" s="24"/>
      <c r="H373" s="24"/>
      <c r="I373" s="24"/>
    </row>
    <row r="374" spans="7:9" ht="12.75" x14ac:dyDescent="0.2">
      <c r="G374" s="24"/>
      <c r="H374" s="24"/>
      <c r="I374" s="24"/>
    </row>
    <row r="375" spans="7:9" ht="12.75" x14ac:dyDescent="0.2">
      <c r="G375" s="24"/>
      <c r="H375" s="24"/>
      <c r="I375" s="24"/>
    </row>
    <row r="376" spans="7:9" ht="12.75" x14ac:dyDescent="0.2">
      <c r="G376" s="24"/>
      <c r="H376" s="24"/>
      <c r="I376" s="24"/>
    </row>
    <row r="377" spans="7:9" ht="12.75" x14ac:dyDescent="0.2">
      <c r="G377" s="24"/>
      <c r="H377" s="24"/>
      <c r="I377" s="24"/>
    </row>
    <row r="378" spans="7:9" ht="12.75" x14ac:dyDescent="0.2">
      <c r="G378" s="24"/>
      <c r="H378" s="24"/>
      <c r="I378" s="24"/>
    </row>
    <row r="379" spans="7:9" ht="12.75" x14ac:dyDescent="0.2">
      <c r="G379" s="24"/>
      <c r="H379" s="24"/>
      <c r="I379" s="24"/>
    </row>
    <row r="380" spans="7:9" ht="12.75" x14ac:dyDescent="0.2">
      <c r="G380" s="24"/>
      <c r="H380" s="24"/>
      <c r="I380" s="24"/>
    </row>
    <row r="381" spans="7:9" ht="12.75" x14ac:dyDescent="0.2">
      <c r="G381" s="24"/>
      <c r="H381" s="24"/>
      <c r="I381" s="24"/>
    </row>
    <row r="382" spans="7:9" ht="12.75" x14ac:dyDescent="0.2">
      <c r="G382" s="24"/>
      <c r="H382" s="24"/>
      <c r="I382" s="24"/>
    </row>
    <row r="383" spans="7:9" ht="12.75" x14ac:dyDescent="0.2">
      <c r="G383" s="24"/>
      <c r="H383" s="24"/>
      <c r="I383" s="24"/>
    </row>
    <row r="384" spans="7:9" ht="12.75" x14ac:dyDescent="0.2">
      <c r="G384" s="24"/>
      <c r="H384" s="24"/>
      <c r="I384" s="24"/>
    </row>
    <row r="385" spans="7:9" ht="12.75" x14ac:dyDescent="0.2">
      <c r="G385" s="24"/>
      <c r="H385" s="24"/>
      <c r="I385" s="24"/>
    </row>
    <row r="386" spans="7:9" ht="12.75" x14ac:dyDescent="0.2">
      <c r="G386" s="24"/>
      <c r="H386" s="24"/>
      <c r="I386" s="24"/>
    </row>
    <row r="387" spans="7:9" ht="12.75" x14ac:dyDescent="0.2">
      <c r="G387" s="24"/>
      <c r="H387" s="24"/>
      <c r="I387" s="24"/>
    </row>
    <row r="388" spans="7:9" ht="12.75" x14ac:dyDescent="0.2">
      <c r="G388" s="24"/>
      <c r="H388" s="24"/>
      <c r="I388" s="24"/>
    </row>
    <row r="389" spans="7:9" ht="12.75" x14ac:dyDescent="0.2">
      <c r="G389" s="24"/>
      <c r="H389" s="24"/>
      <c r="I389" s="24"/>
    </row>
    <row r="390" spans="7:9" ht="12.75" x14ac:dyDescent="0.2">
      <c r="G390" s="24"/>
      <c r="H390" s="24"/>
      <c r="I390" s="24"/>
    </row>
    <row r="391" spans="7:9" ht="12.75" x14ac:dyDescent="0.2">
      <c r="G391" s="24"/>
      <c r="H391" s="24"/>
      <c r="I391" s="24"/>
    </row>
    <row r="392" spans="7:9" ht="12.75" x14ac:dyDescent="0.2">
      <c r="G392" s="24"/>
      <c r="H392" s="24"/>
      <c r="I392" s="24"/>
    </row>
    <row r="393" spans="7:9" ht="12.75" x14ac:dyDescent="0.2">
      <c r="G393" s="24"/>
      <c r="H393" s="24"/>
      <c r="I393" s="24"/>
    </row>
    <row r="394" spans="7:9" ht="12.75" x14ac:dyDescent="0.2">
      <c r="G394" s="24"/>
      <c r="H394" s="24"/>
      <c r="I394" s="24"/>
    </row>
    <row r="395" spans="7:9" ht="12.75" x14ac:dyDescent="0.2">
      <c r="G395" s="24"/>
      <c r="H395" s="24"/>
      <c r="I395" s="24"/>
    </row>
    <row r="396" spans="7:9" ht="12.75" x14ac:dyDescent="0.2">
      <c r="G396" s="24"/>
      <c r="H396" s="24"/>
      <c r="I396" s="24"/>
    </row>
    <row r="397" spans="7:9" ht="12.75" x14ac:dyDescent="0.2">
      <c r="G397" s="24"/>
      <c r="H397" s="24"/>
      <c r="I397" s="24"/>
    </row>
    <row r="398" spans="7:9" ht="12.75" x14ac:dyDescent="0.2">
      <c r="G398" s="24"/>
      <c r="H398" s="24"/>
      <c r="I398" s="24"/>
    </row>
    <row r="399" spans="7:9" ht="12.75" x14ac:dyDescent="0.2">
      <c r="G399" s="24"/>
      <c r="H399" s="24"/>
      <c r="I399" s="24"/>
    </row>
    <row r="400" spans="7:9" ht="12.75" x14ac:dyDescent="0.2">
      <c r="G400" s="24"/>
      <c r="H400" s="24"/>
      <c r="I400" s="24"/>
    </row>
    <row r="401" spans="7:9" ht="12.75" x14ac:dyDescent="0.2">
      <c r="G401" s="24"/>
      <c r="H401" s="24"/>
      <c r="I401" s="24"/>
    </row>
    <row r="402" spans="7:9" ht="12.75" x14ac:dyDescent="0.2">
      <c r="G402" s="24"/>
      <c r="H402" s="24"/>
      <c r="I402" s="24"/>
    </row>
    <row r="403" spans="7:9" ht="12.75" x14ac:dyDescent="0.2">
      <c r="G403" s="24"/>
      <c r="H403" s="24"/>
      <c r="I403" s="24"/>
    </row>
    <row r="404" spans="7:9" ht="12.75" x14ac:dyDescent="0.2">
      <c r="G404" s="24"/>
      <c r="H404" s="24"/>
      <c r="I404" s="24"/>
    </row>
    <row r="405" spans="7:9" ht="12.75" x14ac:dyDescent="0.2">
      <c r="G405" s="24"/>
      <c r="H405" s="24"/>
      <c r="I405" s="24"/>
    </row>
    <row r="406" spans="7:9" ht="12.75" x14ac:dyDescent="0.2">
      <c r="G406" s="24"/>
      <c r="H406" s="24"/>
      <c r="I406" s="24"/>
    </row>
    <row r="407" spans="7:9" ht="12.75" x14ac:dyDescent="0.2">
      <c r="G407" s="24"/>
      <c r="H407" s="24"/>
      <c r="I407" s="24"/>
    </row>
    <row r="408" spans="7:9" ht="12.75" x14ac:dyDescent="0.2">
      <c r="G408" s="24"/>
      <c r="H408" s="24"/>
      <c r="I408" s="24"/>
    </row>
    <row r="409" spans="7:9" ht="12.75" x14ac:dyDescent="0.2">
      <c r="G409" s="24"/>
      <c r="H409" s="24"/>
      <c r="I409" s="24"/>
    </row>
    <row r="410" spans="7:9" ht="12.75" x14ac:dyDescent="0.2">
      <c r="G410" s="24"/>
      <c r="H410" s="24"/>
      <c r="I410" s="24"/>
    </row>
    <row r="411" spans="7:9" ht="12.75" x14ac:dyDescent="0.2">
      <c r="G411" s="24"/>
      <c r="H411" s="24"/>
      <c r="I411" s="24"/>
    </row>
    <row r="412" spans="7:9" ht="12.75" x14ac:dyDescent="0.2">
      <c r="G412" s="24"/>
      <c r="H412" s="24"/>
      <c r="I412" s="24"/>
    </row>
    <row r="413" spans="7:9" ht="12.75" x14ac:dyDescent="0.2">
      <c r="G413" s="24"/>
      <c r="H413" s="24"/>
      <c r="I413" s="24"/>
    </row>
    <row r="414" spans="7:9" ht="12.75" x14ac:dyDescent="0.2">
      <c r="G414" s="24"/>
      <c r="H414" s="24"/>
      <c r="I414" s="24"/>
    </row>
    <row r="415" spans="7:9" ht="12.75" x14ac:dyDescent="0.2">
      <c r="G415" s="24"/>
      <c r="H415" s="24"/>
      <c r="I415" s="24"/>
    </row>
    <row r="416" spans="7:9" ht="12.75" x14ac:dyDescent="0.2">
      <c r="G416" s="24"/>
      <c r="H416" s="24"/>
      <c r="I416" s="24"/>
    </row>
    <row r="417" spans="7:9" ht="12.75" x14ac:dyDescent="0.2">
      <c r="G417" s="24"/>
      <c r="H417" s="24"/>
      <c r="I417" s="24"/>
    </row>
    <row r="418" spans="7:9" ht="12.75" x14ac:dyDescent="0.2">
      <c r="G418" s="24"/>
      <c r="H418" s="24"/>
      <c r="I418" s="24"/>
    </row>
    <row r="419" spans="7:9" ht="12.75" x14ac:dyDescent="0.2">
      <c r="G419" s="24"/>
      <c r="H419" s="24"/>
      <c r="I419" s="24"/>
    </row>
    <row r="420" spans="7:9" ht="12.75" x14ac:dyDescent="0.2">
      <c r="G420" s="24"/>
      <c r="H420" s="24"/>
      <c r="I420" s="24"/>
    </row>
    <row r="421" spans="7:9" ht="12.75" x14ac:dyDescent="0.2">
      <c r="G421" s="24"/>
      <c r="H421" s="24"/>
      <c r="I421" s="24"/>
    </row>
    <row r="422" spans="7:9" ht="12.75" x14ac:dyDescent="0.2">
      <c r="G422" s="24"/>
      <c r="H422" s="24"/>
      <c r="I422" s="24"/>
    </row>
    <row r="423" spans="7:9" ht="12.75" x14ac:dyDescent="0.2">
      <c r="G423" s="24"/>
      <c r="H423" s="24"/>
      <c r="I423" s="24"/>
    </row>
    <row r="424" spans="7:9" ht="12.75" x14ac:dyDescent="0.2">
      <c r="G424" s="24"/>
      <c r="H424" s="24"/>
      <c r="I424" s="24"/>
    </row>
    <row r="425" spans="7:9" ht="12.75" x14ac:dyDescent="0.2">
      <c r="G425" s="24"/>
      <c r="H425" s="24"/>
      <c r="I425" s="24"/>
    </row>
    <row r="426" spans="7:9" ht="12.75" x14ac:dyDescent="0.2">
      <c r="G426" s="24"/>
      <c r="H426" s="24"/>
      <c r="I426" s="24"/>
    </row>
    <row r="427" spans="7:9" ht="12.75" x14ac:dyDescent="0.2">
      <c r="G427" s="24"/>
      <c r="H427" s="24"/>
      <c r="I427" s="24"/>
    </row>
    <row r="428" spans="7:9" ht="12.75" x14ac:dyDescent="0.2">
      <c r="G428" s="24"/>
      <c r="H428" s="24"/>
      <c r="I428" s="24"/>
    </row>
    <row r="429" spans="7:9" ht="12.75" x14ac:dyDescent="0.2">
      <c r="G429" s="24"/>
      <c r="H429" s="24"/>
      <c r="I429" s="24"/>
    </row>
    <row r="430" spans="7:9" ht="12.75" x14ac:dyDescent="0.2">
      <c r="G430" s="24"/>
      <c r="H430" s="24"/>
      <c r="I430" s="24"/>
    </row>
    <row r="431" spans="7:9" ht="12.75" x14ac:dyDescent="0.2">
      <c r="G431" s="24"/>
      <c r="H431" s="24"/>
      <c r="I431" s="24"/>
    </row>
    <row r="432" spans="7:9" ht="12.75" x14ac:dyDescent="0.2">
      <c r="G432" s="24"/>
      <c r="H432" s="24"/>
      <c r="I432" s="24"/>
    </row>
    <row r="433" spans="7:9" ht="12.75" x14ac:dyDescent="0.2">
      <c r="G433" s="24"/>
      <c r="H433" s="24"/>
      <c r="I433" s="24"/>
    </row>
    <row r="434" spans="7:9" ht="12.75" x14ac:dyDescent="0.2">
      <c r="G434" s="24"/>
      <c r="H434" s="24"/>
      <c r="I434" s="24"/>
    </row>
    <row r="435" spans="7:9" ht="12.75" x14ac:dyDescent="0.2">
      <c r="G435" s="24"/>
      <c r="H435" s="24"/>
      <c r="I435" s="24"/>
    </row>
    <row r="436" spans="7:9" ht="12.75" x14ac:dyDescent="0.2">
      <c r="G436" s="24"/>
      <c r="H436" s="24"/>
      <c r="I436" s="24"/>
    </row>
    <row r="437" spans="7:9" ht="12.75" x14ac:dyDescent="0.2">
      <c r="G437" s="24"/>
      <c r="H437" s="24"/>
      <c r="I437" s="24"/>
    </row>
    <row r="438" spans="7:9" ht="12.75" x14ac:dyDescent="0.2">
      <c r="G438" s="24"/>
      <c r="H438" s="24"/>
      <c r="I438" s="24"/>
    </row>
    <row r="439" spans="7:9" ht="12.75" x14ac:dyDescent="0.2">
      <c r="G439" s="24"/>
      <c r="H439" s="24"/>
      <c r="I439" s="24"/>
    </row>
    <row r="440" spans="7:9" ht="12.75" x14ac:dyDescent="0.2">
      <c r="G440" s="24"/>
      <c r="H440" s="24"/>
      <c r="I440" s="24"/>
    </row>
    <row r="441" spans="7:9" ht="12.75" x14ac:dyDescent="0.2">
      <c r="G441" s="24"/>
      <c r="H441" s="24"/>
      <c r="I441" s="24"/>
    </row>
    <row r="442" spans="7:9" ht="12.75" x14ac:dyDescent="0.2">
      <c r="G442" s="24"/>
      <c r="H442" s="24"/>
      <c r="I442" s="24"/>
    </row>
    <row r="443" spans="7:9" ht="12.75" x14ac:dyDescent="0.2">
      <c r="G443" s="24"/>
      <c r="H443" s="24"/>
      <c r="I443" s="24"/>
    </row>
    <row r="444" spans="7:9" ht="12.75" x14ac:dyDescent="0.2">
      <c r="G444" s="24"/>
      <c r="H444" s="24"/>
      <c r="I444" s="24"/>
    </row>
    <row r="445" spans="7:9" ht="12.75" x14ac:dyDescent="0.2">
      <c r="G445" s="24"/>
      <c r="H445" s="24"/>
      <c r="I445" s="24"/>
    </row>
    <row r="446" spans="7:9" ht="12.75" x14ac:dyDescent="0.2">
      <c r="G446" s="24"/>
      <c r="H446" s="24"/>
      <c r="I446" s="24"/>
    </row>
    <row r="447" spans="7:9" ht="12.75" x14ac:dyDescent="0.2">
      <c r="G447" s="24"/>
      <c r="H447" s="24"/>
      <c r="I447" s="24"/>
    </row>
    <row r="448" spans="7:9" ht="12.75" x14ac:dyDescent="0.2">
      <c r="G448" s="24"/>
      <c r="H448" s="24"/>
      <c r="I448" s="24"/>
    </row>
    <row r="449" spans="7:9" ht="12.75" x14ac:dyDescent="0.2">
      <c r="G449" s="24"/>
      <c r="H449" s="24"/>
      <c r="I449" s="24"/>
    </row>
    <row r="450" spans="7:9" ht="12.75" x14ac:dyDescent="0.2">
      <c r="G450" s="24"/>
      <c r="H450" s="24"/>
      <c r="I450" s="24"/>
    </row>
    <row r="451" spans="7:9" ht="12.75" x14ac:dyDescent="0.2">
      <c r="G451" s="24"/>
      <c r="H451" s="24"/>
      <c r="I451" s="24"/>
    </row>
    <row r="452" spans="7:9" ht="12.75" x14ac:dyDescent="0.2">
      <c r="G452" s="24"/>
      <c r="H452" s="24"/>
      <c r="I452" s="24"/>
    </row>
    <row r="453" spans="7:9" ht="12.75" x14ac:dyDescent="0.2">
      <c r="G453" s="24"/>
      <c r="H453" s="24"/>
      <c r="I453" s="24"/>
    </row>
    <row r="454" spans="7:9" ht="12.75" x14ac:dyDescent="0.2">
      <c r="G454" s="24"/>
      <c r="H454" s="24"/>
      <c r="I454" s="24"/>
    </row>
    <row r="455" spans="7:9" ht="12.75" x14ac:dyDescent="0.2">
      <c r="G455" s="24"/>
      <c r="H455" s="24"/>
      <c r="I455" s="24"/>
    </row>
    <row r="456" spans="7:9" ht="12.75" x14ac:dyDescent="0.2">
      <c r="G456" s="24"/>
      <c r="H456" s="24"/>
      <c r="I456" s="24"/>
    </row>
    <row r="457" spans="7:9" ht="12.75" x14ac:dyDescent="0.2">
      <c r="G457" s="24"/>
      <c r="H457" s="24"/>
      <c r="I457" s="24"/>
    </row>
    <row r="458" spans="7:9" ht="12.75" x14ac:dyDescent="0.2">
      <c r="G458" s="24"/>
      <c r="H458" s="24"/>
      <c r="I458" s="24"/>
    </row>
    <row r="459" spans="7:9" ht="12.75" x14ac:dyDescent="0.2">
      <c r="G459" s="24"/>
      <c r="H459" s="24"/>
      <c r="I459" s="24"/>
    </row>
    <row r="460" spans="7:9" ht="12.75" x14ac:dyDescent="0.2">
      <c r="G460" s="24"/>
      <c r="H460" s="24"/>
      <c r="I460" s="24"/>
    </row>
    <row r="461" spans="7:9" ht="12.75" x14ac:dyDescent="0.2">
      <c r="G461" s="24"/>
      <c r="H461" s="24"/>
      <c r="I461" s="24"/>
    </row>
    <row r="462" spans="7:9" ht="12.75" x14ac:dyDescent="0.2">
      <c r="G462" s="24"/>
      <c r="H462" s="24"/>
      <c r="I462" s="24"/>
    </row>
    <row r="463" spans="7:9" ht="12.75" x14ac:dyDescent="0.2">
      <c r="G463" s="24"/>
      <c r="H463" s="24"/>
      <c r="I463" s="24"/>
    </row>
    <row r="464" spans="7:9" ht="12.75" x14ac:dyDescent="0.2">
      <c r="G464" s="24"/>
      <c r="H464" s="24"/>
      <c r="I464" s="24"/>
    </row>
    <row r="465" spans="7:9" ht="12.75" x14ac:dyDescent="0.2">
      <c r="G465" s="24"/>
      <c r="H465" s="24"/>
      <c r="I465" s="24"/>
    </row>
    <row r="466" spans="7:9" ht="12.75" x14ac:dyDescent="0.2">
      <c r="G466" s="24"/>
      <c r="H466" s="24"/>
      <c r="I466" s="24"/>
    </row>
    <row r="467" spans="7:9" ht="12.75" x14ac:dyDescent="0.2">
      <c r="G467" s="24"/>
      <c r="H467" s="24"/>
      <c r="I467" s="24"/>
    </row>
    <row r="468" spans="7:9" ht="12.75" x14ac:dyDescent="0.2">
      <c r="G468" s="24"/>
      <c r="H468" s="24"/>
      <c r="I468" s="24"/>
    </row>
    <row r="469" spans="7:9" ht="12.75" x14ac:dyDescent="0.2">
      <c r="G469" s="24"/>
      <c r="H469" s="24"/>
      <c r="I469" s="24"/>
    </row>
    <row r="470" spans="7:9" ht="12.75" x14ac:dyDescent="0.2">
      <c r="G470" s="24"/>
      <c r="H470" s="24"/>
      <c r="I470" s="24"/>
    </row>
    <row r="471" spans="7:9" ht="12.75" x14ac:dyDescent="0.2">
      <c r="G471" s="24"/>
      <c r="H471" s="24"/>
      <c r="I471" s="24"/>
    </row>
    <row r="472" spans="7:9" ht="12.75" x14ac:dyDescent="0.2">
      <c r="G472" s="24"/>
      <c r="H472" s="24"/>
      <c r="I472" s="24"/>
    </row>
    <row r="473" spans="7:9" ht="12.75" x14ac:dyDescent="0.2">
      <c r="G473" s="24"/>
      <c r="H473" s="24"/>
      <c r="I473" s="24"/>
    </row>
    <row r="474" spans="7:9" ht="12.75" x14ac:dyDescent="0.2">
      <c r="G474" s="24"/>
      <c r="H474" s="24"/>
      <c r="I474" s="24"/>
    </row>
    <row r="475" spans="7:9" ht="12.75" x14ac:dyDescent="0.2">
      <c r="G475" s="24"/>
      <c r="H475" s="24"/>
      <c r="I475" s="24"/>
    </row>
    <row r="476" spans="7:9" ht="12.75" x14ac:dyDescent="0.2">
      <c r="G476" s="24"/>
      <c r="H476" s="24"/>
      <c r="I476" s="24"/>
    </row>
    <row r="477" spans="7:9" ht="12.75" x14ac:dyDescent="0.2">
      <c r="G477" s="24"/>
      <c r="H477" s="24"/>
      <c r="I477" s="24"/>
    </row>
    <row r="478" spans="7:9" ht="12.75" x14ac:dyDescent="0.2">
      <c r="G478" s="24"/>
      <c r="H478" s="24"/>
      <c r="I478" s="24"/>
    </row>
    <row r="479" spans="7:9" ht="12.75" x14ac:dyDescent="0.2">
      <c r="G479" s="24"/>
      <c r="H479" s="24"/>
      <c r="I479" s="24"/>
    </row>
    <row r="480" spans="7:9" ht="12.75" x14ac:dyDescent="0.2">
      <c r="G480" s="24"/>
      <c r="H480" s="24"/>
      <c r="I480" s="24"/>
    </row>
    <row r="481" spans="7:9" ht="12.75" x14ac:dyDescent="0.2">
      <c r="G481" s="24"/>
      <c r="H481" s="24"/>
      <c r="I481" s="24"/>
    </row>
    <row r="482" spans="7:9" ht="12.75" x14ac:dyDescent="0.2">
      <c r="G482" s="24"/>
      <c r="H482" s="24"/>
      <c r="I482" s="24"/>
    </row>
    <row r="483" spans="7:9" ht="12.75" x14ac:dyDescent="0.2">
      <c r="G483" s="24"/>
      <c r="H483" s="24"/>
      <c r="I483" s="24"/>
    </row>
    <row r="484" spans="7:9" ht="12.75" x14ac:dyDescent="0.2">
      <c r="G484" s="24"/>
      <c r="H484" s="24"/>
      <c r="I484" s="24"/>
    </row>
    <row r="485" spans="7:9" ht="12.75" x14ac:dyDescent="0.2">
      <c r="G485" s="24"/>
      <c r="H485" s="24"/>
      <c r="I485" s="24"/>
    </row>
    <row r="486" spans="7:9" ht="12.75" x14ac:dyDescent="0.2">
      <c r="G486" s="24"/>
      <c r="H486" s="24"/>
      <c r="I486" s="24"/>
    </row>
    <row r="487" spans="7:9" ht="12.75" x14ac:dyDescent="0.2">
      <c r="G487" s="24"/>
      <c r="H487" s="24"/>
      <c r="I487" s="24"/>
    </row>
    <row r="488" spans="7:9" ht="12.75" x14ac:dyDescent="0.2">
      <c r="G488" s="24"/>
      <c r="H488" s="24"/>
      <c r="I488" s="24"/>
    </row>
    <row r="489" spans="7:9" ht="12.75" x14ac:dyDescent="0.2">
      <c r="G489" s="24"/>
      <c r="H489" s="24"/>
      <c r="I489" s="24"/>
    </row>
    <row r="490" spans="7:9" ht="12.75" x14ac:dyDescent="0.2">
      <c r="G490" s="24"/>
      <c r="H490" s="24"/>
      <c r="I490" s="24"/>
    </row>
    <row r="491" spans="7:9" ht="12.75" x14ac:dyDescent="0.2">
      <c r="G491" s="24"/>
      <c r="H491" s="24"/>
      <c r="I491" s="24"/>
    </row>
    <row r="492" spans="7:9" ht="12.75" x14ac:dyDescent="0.2">
      <c r="G492" s="24"/>
      <c r="H492" s="24"/>
      <c r="I492" s="24"/>
    </row>
    <row r="493" spans="7:9" ht="12.75" x14ac:dyDescent="0.2">
      <c r="G493" s="24"/>
      <c r="H493" s="24"/>
      <c r="I493" s="24"/>
    </row>
    <row r="494" spans="7:9" ht="12.75" x14ac:dyDescent="0.2">
      <c r="G494" s="24"/>
      <c r="H494" s="24"/>
      <c r="I494" s="24"/>
    </row>
    <row r="495" spans="7:9" ht="12.75" x14ac:dyDescent="0.2">
      <c r="G495" s="24"/>
      <c r="H495" s="24"/>
      <c r="I495" s="24"/>
    </row>
    <row r="496" spans="7:9" ht="12.75" x14ac:dyDescent="0.2">
      <c r="G496" s="24"/>
      <c r="H496" s="24"/>
      <c r="I496" s="24"/>
    </row>
    <row r="497" spans="7:9" ht="12.75" x14ac:dyDescent="0.2">
      <c r="G497" s="24"/>
      <c r="H497" s="24"/>
      <c r="I497" s="24"/>
    </row>
    <row r="498" spans="7:9" ht="12.75" x14ac:dyDescent="0.2">
      <c r="G498" s="24"/>
      <c r="H498" s="24"/>
      <c r="I498" s="24"/>
    </row>
    <row r="499" spans="7:9" ht="12.75" x14ac:dyDescent="0.2">
      <c r="G499" s="24"/>
      <c r="H499" s="24"/>
      <c r="I499" s="24"/>
    </row>
    <row r="500" spans="7:9" ht="12.75" x14ac:dyDescent="0.2">
      <c r="G500" s="24"/>
      <c r="H500" s="24"/>
      <c r="I500" s="24"/>
    </row>
    <row r="501" spans="7:9" ht="12.75" x14ac:dyDescent="0.2">
      <c r="G501" s="24"/>
      <c r="H501" s="24"/>
      <c r="I501" s="24"/>
    </row>
    <row r="502" spans="7:9" ht="12.75" x14ac:dyDescent="0.2">
      <c r="G502" s="24"/>
      <c r="H502" s="24"/>
      <c r="I502" s="24"/>
    </row>
    <row r="503" spans="7:9" ht="12.75" x14ac:dyDescent="0.2">
      <c r="G503" s="24"/>
      <c r="H503" s="24"/>
      <c r="I503" s="24"/>
    </row>
    <row r="504" spans="7:9" ht="12.75" x14ac:dyDescent="0.2">
      <c r="G504" s="24"/>
      <c r="H504" s="24"/>
      <c r="I504" s="24"/>
    </row>
    <row r="505" spans="7:9" ht="12.75" x14ac:dyDescent="0.2">
      <c r="G505" s="24"/>
      <c r="H505" s="24"/>
      <c r="I505" s="24"/>
    </row>
    <row r="506" spans="7:9" ht="12.75" x14ac:dyDescent="0.2">
      <c r="G506" s="24"/>
      <c r="H506" s="24"/>
      <c r="I506" s="24"/>
    </row>
    <row r="507" spans="7:9" ht="12.75" x14ac:dyDescent="0.2">
      <c r="G507" s="24"/>
      <c r="H507" s="24"/>
      <c r="I507" s="24"/>
    </row>
    <row r="508" spans="7:9" ht="12.75" x14ac:dyDescent="0.2">
      <c r="G508" s="24"/>
      <c r="H508" s="24"/>
      <c r="I508" s="24"/>
    </row>
    <row r="509" spans="7:9" ht="12.75" x14ac:dyDescent="0.2">
      <c r="G509" s="24"/>
      <c r="H509" s="24"/>
      <c r="I509" s="24"/>
    </row>
    <row r="510" spans="7:9" ht="12.75" x14ac:dyDescent="0.2">
      <c r="G510" s="24"/>
      <c r="H510" s="24"/>
      <c r="I510" s="24"/>
    </row>
    <row r="511" spans="7:9" ht="12.75" x14ac:dyDescent="0.2">
      <c r="G511" s="24"/>
      <c r="H511" s="24"/>
      <c r="I511" s="24"/>
    </row>
    <row r="512" spans="7:9" ht="12.75" x14ac:dyDescent="0.2">
      <c r="G512" s="24"/>
      <c r="H512" s="24"/>
      <c r="I512" s="24"/>
    </row>
    <row r="513" spans="7:9" ht="12.75" x14ac:dyDescent="0.2">
      <c r="G513" s="24"/>
      <c r="H513" s="24"/>
      <c r="I513" s="24"/>
    </row>
    <row r="514" spans="7:9" ht="12.75" x14ac:dyDescent="0.2">
      <c r="G514" s="24"/>
      <c r="H514" s="24"/>
      <c r="I514" s="24"/>
    </row>
    <row r="515" spans="7:9" ht="12.75" x14ac:dyDescent="0.2">
      <c r="G515" s="24"/>
      <c r="H515" s="24"/>
      <c r="I515" s="24"/>
    </row>
    <row r="516" spans="7:9" ht="12.75" x14ac:dyDescent="0.2">
      <c r="G516" s="24"/>
      <c r="H516" s="24"/>
      <c r="I516" s="24"/>
    </row>
    <row r="517" spans="7:9" ht="12.75" x14ac:dyDescent="0.2">
      <c r="G517" s="24"/>
      <c r="H517" s="24"/>
      <c r="I517" s="24"/>
    </row>
    <row r="518" spans="7:9" ht="12.75" x14ac:dyDescent="0.2">
      <c r="G518" s="24"/>
      <c r="H518" s="24"/>
      <c r="I518" s="24"/>
    </row>
    <row r="519" spans="7:9" ht="12.75" x14ac:dyDescent="0.2">
      <c r="G519" s="24"/>
      <c r="H519" s="24"/>
      <c r="I519" s="24"/>
    </row>
    <row r="520" spans="7:9" ht="12.75" x14ac:dyDescent="0.2">
      <c r="G520" s="24"/>
      <c r="H520" s="24"/>
      <c r="I520" s="24"/>
    </row>
    <row r="521" spans="7:9" ht="12.75" x14ac:dyDescent="0.2">
      <c r="G521" s="24"/>
      <c r="H521" s="24"/>
      <c r="I521" s="24"/>
    </row>
    <row r="522" spans="7:9" ht="12.75" x14ac:dyDescent="0.2">
      <c r="G522" s="24"/>
      <c r="H522" s="24"/>
      <c r="I522" s="24"/>
    </row>
    <row r="523" spans="7:9" ht="12.75" x14ac:dyDescent="0.2">
      <c r="G523" s="24"/>
      <c r="H523" s="24"/>
      <c r="I523" s="24"/>
    </row>
    <row r="524" spans="7:9" ht="12.75" x14ac:dyDescent="0.2">
      <c r="G524" s="24"/>
      <c r="H524" s="24"/>
      <c r="I524" s="24"/>
    </row>
    <row r="525" spans="7:9" ht="12.75" x14ac:dyDescent="0.2">
      <c r="G525" s="24"/>
      <c r="H525" s="24"/>
      <c r="I525" s="24"/>
    </row>
    <row r="526" spans="7:9" ht="12.75" x14ac:dyDescent="0.2">
      <c r="G526" s="24"/>
      <c r="H526" s="24"/>
      <c r="I526" s="24"/>
    </row>
    <row r="527" spans="7:9" ht="12.75" x14ac:dyDescent="0.2">
      <c r="G527" s="24"/>
      <c r="H527" s="24"/>
      <c r="I527" s="24"/>
    </row>
    <row r="528" spans="7:9" ht="12.75" x14ac:dyDescent="0.2">
      <c r="G528" s="24"/>
      <c r="H528" s="24"/>
      <c r="I528" s="24"/>
    </row>
    <row r="529" spans="7:9" ht="12.75" x14ac:dyDescent="0.2">
      <c r="G529" s="24"/>
      <c r="H529" s="24"/>
      <c r="I529" s="24"/>
    </row>
    <row r="530" spans="7:9" ht="12.75" x14ac:dyDescent="0.2">
      <c r="G530" s="24"/>
      <c r="H530" s="24"/>
      <c r="I530" s="24"/>
    </row>
    <row r="531" spans="7:9" ht="12.75" x14ac:dyDescent="0.2">
      <c r="G531" s="24"/>
      <c r="H531" s="24"/>
      <c r="I531" s="24"/>
    </row>
    <row r="532" spans="7:9" ht="12.75" x14ac:dyDescent="0.2">
      <c r="G532" s="24"/>
      <c r="H532" s="24"/>
      <c r="I532" s="24"/>
    </row>
    <row r="533" spans="7:9" ht="12.75" x14ac:dyDescent="0.2">
      <c r="G533" s="24"/>
      <c r="H533" s="24"/>
      <c r="I533" s="24"/>
    </row>
    <row r="534" spans="7:9" ht="12.75" x14ac:dyDescent="0.2">
      <c r="G534" s="24"/>
      <c r="H534" s="24"/>
      <c r="I534" s="24"/>
    </row>
    <row r="535" spans="7:9" ht="12.75" x14ac:dyDescent="0.2">
      <c r="G535" s="24"/>
      <c r="H535" s="24"/>
      <c r="I535" s="24"/>
    </row>
    <row r="536" spans="7:9" ht="12.75" x14ac:dyDescent="0.2">
      <c r="G536" s="24"/>
      <c r="H536" s="24"/>
      <c r="I536" s="24"/>
    </row>
    <row r="537" spans="7:9" ht="12.75" x14ac:dyDescent="0.2">
      <c r="G537" s="24"/>
      <c r="H537" s="24"/>
      <c r="I537" s="24"/>
    </row>
    <row r="538" spans="7:9" ht="12.75" x14ac:dyDescent="0.2">
      <c r="G538" s="24"/>
      <c r="H538" s="24"/>
      <c r="I538" s="24"/>
    </row>
    <row r="539" spans="7:9" ht="12.75" x14ac:dyDescent="0.2">
      <c r="G539" s="24"/>
      <c r="H539" s="24"/>
      <c r="I539" s="24"/>
    </row>
    <row r="540" spans="7:9" ht="12.75" x14ac:dyDescent="0.2">
      <c r="G540" s="24"/>
      <c r="H540" s="24"/>
      <c r="I540" s="24"/>
    </row>
    <row r="541" spans="7:9" ht="12.75" x14ac:dyDescent="0.2">
      <c r="G541" s="24"/>
      <c r="H541" s="24"/>
      <c r="I541" s="24"/>
    </row>
    <row r="542" spans="7:9" ht="12.75" x14ac:dyDescent="0.2">
      <c r="G542" s="24"/>
      <c r="H542" s="24"/>
      <c r="I542" s="24"/>
    </row>
    <row r="543" spans="7:9" ht="12.75" x14ac:dyDescent="0.2">
      <c r="G543" s="24"/>
      <c r="H543" s="24"/>
      <c r="I543" s="24"/>
    </row>
    <row r="544" spans="7:9" ht="12.75" x14ac:dyDescent="0.2">
      <c r="G544" s="24"/>
      <c r="H544" s="24"/>
      <c r="I544" s="24"/>
    </row>
    <row r="545" spans="7:9" ht="12.75" x14ac:dyDescent="0.2">
      <c r="G545" s="24"/>
      <c r="H545" s="24"/>
      <c r="I545" s="24"/>
    </row>
    <row r="546" spans="7:9" ht="12.75" x14ac:dyDescent="0.2">
      <c r="G546" s="24"/>
      <c r="H546" s="24"/>
      <c r="I546" s="24"/>
    </row>
    <row r="547" spans="7:9" ht="12.75" x14ac:dyDescent="0.2">
      <c r="G547" s="24"/>
      <c r="H547" s="24"/>
      <c r="I547" s="24"/>
    </row>
    <row r="548" spans="7:9" ht="12.75" x14ac:dyDescent="0.2">
      <c r="G548" s="24"/>
      <c r="H548" s="24"/>
      <c r="I548" s="24"/>
    </row>
    <row r="549" spans="7:9" ht="12.75" x14ac:dyDescent="0.2">
      <c r="G549" s="24"/>
      <c r="H549" s="24"/>
      <c r="I549" s="24"/>
    </row>
    <row r="550" spans="7:9" ht="12.75" x14ac:dyDescent="0.2">
      <c r="G550" s="24"/>
      <c r="H550" s="24"/>
      <c r="I550" s="24"/>
    </row>
    <row r="551" spans="7:9" ht="12.75" x14ac:dyDescent="0.2">
      <c r="G551" s="24"/>
      <c r="H551" s="24"/>
      <c r="I551" s="24"/>
    </row>
    <row r="552" spans="7:9" ht="12.75" x14ac:dyDescent="0.2">
      <c r="G552" s="24"/>
      <c r="H552" s="24"/>
      <c r="I552" s="24"/>
    </row>
    <row r="553" spans="7:9" ht="12.75" x14ac:dyDescent="0.2">
      <c r="G553" s="24"/>
      <c r="H553" s="24"/>
      <c r="I553" s="24"/>
    </row>
    <row r="554" spans="7:9" ht="12.75" x14ac:dyDescent="0.2">
      <c r="G554" s="24"/>
      <c r="H554" s="24"/>
      <c r="I554" s="24"/>
    </row>
    <row r="555" spans="7:9" ht="12.75" x14ac:dyDescent="0.2">
      <c r="G555" s="24"/>
      <c r="H555" s="24"/>
      <c r="I555" s="24"/>
    </row>
    <row r="556" spans="7:9" ht="12.75" x14ac:dyDescent="0.2">
      <c r="G556" s="24"/>
      <c r="H556" s="24"/>
      <c r="I556" s="24"/>
    </row>
    <row r="557" spans="7:9" ht="12.75" x14ac:dyDescent="0.2">
      <c r="G557" s="24"/>
      <c r="H557" s="24"/>
      <c r="I557" s="24"/>
    </row>
    <row r="558" spans="7:9" ht="12.75" x14ac:dyDescent="0.2">
      <c r="G558" s="24"/>
      <c r="H558" s="24"/>
      <c r="I558" s="24"/>
    </row>
    <row r="559" spans="7:9" ht="12.75" x14ac:dyDescent="0.2">
      <c r="G559" s="24"/>
      <c r="H559" s="24"/>
      <c r="I559" s="24"/>
    </row>
    <row r="560" spans="7:9" ht="12.75" x14ac:dyDescent="0.2">
      <c r="G560" s="24"/>
      <c r="H560" s="24"/>
      <c r="I560" s="24"/>
    </row>
    <row r="561" spans="7:9" ht="12.75" x14ac:dyDescent="0.2">
      <c r="G561" s="24"/>
      <c r="H561" s="24"/>
      <c r="I561" s="24"/>
    </row>
    <row r="562" spans="7:9" ht="12.75" x14ac:dyDescent="0.2">
      <c r="G562" s="24"/>
      <c r="H562" s="24"/>
      <c r="I562" s="24"/>
    </row>
    <row r="563" spans="7:9" ht="12.75" x14ac:dyDescent="0.2">
      <c r="G563" s="24"/>
      <c r="H563" s="24"/>
      <c r="I563" s="24"/>
    </row>
    <row r="564" spans="7:9" ht="12.75" x14ac:dyDescent="0.2">
      <c r="G564" s="24"/>
      <c r="H564" s="24"/>
      <c r="I564" s="24"/>
    </row>
    <row r="565" spans="7:9" ht="12.75" x14ac:dyDescent="0.2">
      <c r="G565" s="24"/>
      <c r="H565" s="24"/>
      <c r="I565" s="24"/>
    </row>
    <row r="566" spans="7:9" ht="12.75" x14ac:dyDescent="0.2">
      <c r="G566" s="24"/>
      <c r="H566" s="24"/>
      <c r="I566" s="24"/>
    </row>
    <row r="567" spans="7:9" ht="12.75" x14ac:dyDescent="0.2">
      <c r="G567" s="24"/>
      <c r="H567" s="24"/>
      <c r="I567" s="24"/>
    </row>
    <row r="568" spans="7:9" ht="12.75" x14ac:dyDescent="0.2">
      <c r="G568" s="24"/>
      <c r="H568" s="24"/>
      <c r="I568" s="24"/>
    </row>
    <row r="569" spans="7:9" ht="12.75" x14ac:dyDescent="0.2">
      <c r="G569" s="24"/>
      <c r="H569" s="24"/>
      <c r="I569" s="24"/>
    </row>
    <row r="570" spans="7:9" ht="12.75" x14ac:dyDescent="0.2">
      <c r="G570" s="24"/>
      <c r="H570" s="24"/>
      <c r="I570" s="24"/>
    </row>
    <row r="571" spans="7:9" ht="12.75" x14ac:dyDescent="0.2">
      <c r="G571" s="24"/>
      <c r="H571" s="24"/>
      <c r="I571" s="24"/>
    </row>
    <row r="572" spans="7:9" ht="12.75" x14ac:dyDescent="0.2">
      <c r="G572" s="24"/>
      <c r="H572" s="24"/>
      <c r="I572" s="24"/>
    </row>
    <row r="573" spans="7:9" ht="12.75" x14ac:dyDescent="0.2">
      <c r="G573" s="24"/>
      <c r="H573" s="24"/>
      <c r="I573" s="24"/>
    </row>
    <row r="574" spans="7:9" ht="12.75" x14ac:dyDescent="0.2">
      <c r="G574" s="24"/>
      <c r="H574" s="24"/>
      <c r="I574" s="24"/>
    </row>
    <row r="575" spans="7:9" ht="12.75" x14ac:dyDescent="0.2">
      <c r="G575" s="24"/>
      <c r="H575" s="24"/>
      <c r="I575" s="24"/>
    </row>
    <row r="576" spans="7:9" ht="12.75" x14ac:dyDescent="0.2">
      <c r="G576" s="24"/>
      <c r="H576" s="24"/>
      <c r="I576" s="24"/>
    </row>
    <row r="577" spans="7:9" ht="12.75" x14ac:dyDescent="0.2">
      <c r="G577" s="24"/>
      <c r="H577" s="24"/>
      <c r="I577" s="24"/>
    </row>
    <row r="578" spans="7:9" ht="12.75" x14ac:dyDescent="0.2">
      <c r="G578" s="24"/>
      <c r="H578" s="24"/>
      <c r="I578" s="24"/>
    </row>
    <row r="579" spans="7:9" ht="12.75" x14ac:dyDescent="0.2">
      <c r="G579" s="24"/>
      <c r="H579" s="24"/>
      <c r="I579" s="24"/>
    </row>
    <row r="580" spans="7:9" ht="12.75" x14ac:dyDescent="0.2">
      <c r="G580" s="24"/>
      <c r="H580" s="24"/>
      <c r="I580" s="24"/>
    </row>
    <row r="581" spans="7:9" ht="12.75" x14ac:dyDescent="0.2">
      <c r="G581" s="24"/>
      <c r="H581" s="24"/>
      <c r="I581" s="24"/>
    </row>
    <row r="582" spans="7:9" ht="12.75" x14ac:dyDescent="0.2">
      <c r="G582" s="24"/>
      <c r="H582" s="24"/>
      <c r="I582" s="24"/>
    </row>
    <row r="583" spans="7:9" ht="12.75" x14ac:dyDescent="0.2">
      <c r="G583" s="24"/>
      <c r="H583" s="24"/>
      <c r="I583" s="24"/>
    </row>
    <row r="584" spans="7:9" ht="12.75" x14ac:dyDescent="0.2">
      <c r="G584" s="24"/>
      <c r="H584" s="24"/>
      <c r="I584" s="24"/>
    </row>
    <row r="585" spans="7:9" ht="12.75" x14ac:dyDescent="0.2">
      <c r="G585" s="24"/>
      <c r="H585" s="24"/>
      <c r="I585" s="24"/>
    </row>
    <row r="586" spans="7:9" ht="12.75" x14ac:dyDescent="0.2">
      <c r="G586" s="24"/>
      <c r="H586" s="24"/>
      <c r="I586" s="24"/>
    </row>
    <row r="587" spans="7:9" ht="12.75" x14ac:dyDescent="0.2">
      <c r="G587" s="24"/>
      <c r="H587" s="24"/>
      <c r="I587" s="24"/>
    </row>
    <row r="588" spans="7:9" ht="12.75" x14ac:dyDescent="0.2">
      <c r="G588" s="24"/>
      <c r="H588" s="24"/>
      <c r="I588" s="24"/>
    </row>
    <row r="589" spans="7:9" ht="12.75" x14ac:dyDescent="0.2">
      <c r="G589" s="24"/>
      <c r="H589" s="24"/>
      <c r="I589" s="24"/>
    </row>
    <row r="590" spans="7:9" ht="12.75" x14ac:dyDescent="0.2">
      <c r="G590" s="24"/>
      <c r="H590" s="24"/>
      <c r="I590" s="24"/>
    </row>
    <row r="591" spans="7:9" ht="12.75" x14ac:dyDescent="0.2">
      <c r="G591" s="24"/>
      <c r="H591" s="24"/>
      <c r="I591" s="24"/>
    </row>
    <row r="592" spans="7:9" ht="12.75" x14ac:dyDescent="0.2">
      <c r="G592" s="24"/>
      <c r="H592" s="24"/>
      <c r="I592" s="24"/>
    </row>
    <row r="593" spans="7:9" ht="12.75" x14ac:dyDescent="0.2">
      <c r="G593" s="24"/>
      <c r="H593" s="24"/>
      <c r="I593" s="24"/>
    </row>
    <row r="594" spans="7:9" ht="12.75" x14ac:dyDescent="0.2">
      <c r="G594" s="24"/>
      <c r="H594" s="24"/>
      <c r="I594" s="24"/>
    </row>
    <row r="595" spans="7:9" ht="12.75" x14ac:dyDescent="0.2">
      <c r="G595" s="24"/>
      <c r="H595" s="24"/>
      <c r="I595" s="24"/>
    </row>
    <row r="596" spans="7:9" ht="12.75" x14ac:dyDescent="0.2">
      <c r="G596" s="24"/>
      <c r="H596" s="24"/>
      <c r="I596" s="24"/>
    </row>
    <row r="597" spans="7:9" ht="12.75" x14ac:dyDescent="0.2">
      <c r="G597" s="24"/>
      <c r="H597" s="24"/>
      <c r="I597" s="24"/>
    </row>
    <row r="598" spans="7:9" ht="12.75" x14ac:dyDescent="0.2">
      <c r="G598" s="24"/>
      <c r="H598" s="24"/>
      <c r="I598" s="24"/>
    </row>
    <row r="599" spans="7:9" ht="12.75" x14ac:dyDescent="0.2">
      <c r="G599" s="24"/>
      <c r="H599" s="24"/>
      <c r="I599" s="24"/>
    </row>
    <row r="600" spans="7:9" ht="12.75" x14ac:dyDescent="0.2">
      <c r="G600" s="24"/>
      <c r="H600" s="24"/>
      <c r="I600" s="24"/>
    </row>
    <row r="601" spans="7:9" ht="12.75" x14ac:dyDescent="0.2">
      <c r="G601" s="24"/>
      <c r="H601" s="24"/>
      <c r="I601" s="24"/>
    </row>
    <row r="602" spans="7:9" ht="12.75" x14ac:dyDescent="0.2">
      <c r="G602" s="24"/>
      <c r="H602" s="24"/>
      <c r="I602" s="24"/>
    </row>
    <row r="603" spans="7:9" ht="12.75" x14ac:dyDescent="0.2">
      <c r="G603" s="24"/>
      <c r="H603" s="24"/>
      <c r="I603" s="24"/>
    </row>
    <row r="604" spans="7:9" ht="12.75" x14ac:dyDescent="0.2">
      <c r="G604" s="24"/>
      <c r="H604" s="24"/>
      <c r="I604" s="24"/>
    </row>
    <row r="605" spans="7:9" ht="12.75" x14ac:dyDescent="0.2">
      <c r="G605" s="24"/>
      <c r="H605" s="24"/>
      <c r="I605" s="24"/>
    </row>
    <row r="606" spans="7:9" ht="12.75" x14ac:dyDescent="0.2">
      <c r="G606" s="24"/>
      <c r="H606" s="24"/>
      <c r="I606" s="24"/>
    </row>
    <row r="607" spans="7:9" ht="12.75" x14ac:dyDescent="0.2">
      <c r="G607" s="24"/>
      <c r="H607" s="24"/>
      <c r="I607" s="24"/>
    </row>
    <row r="608" spans="7:9" ht="12.75" x14ac:dyDescent="0.2">
      <c r="G608" s="24"/>
      <c r="H608" s="24"/>
      <c r="I608" s="24"/>
    </row>
    <row r="609" spans="7:9" ht="12.75" x14ac:dyDescent="0.2">
      <c r="G609" s="24"/>
      <c r="H609" s="24"/>
      <c r="I609" s="24"/>
    </row>
    <row r="610" spans="7:9" ht="12.75" x14ac:dyDescent="0.2">
      <c r="G610" s="24"/>
      <c r="H610" s="24"/>
      <c r="I610" s="24"/>
    </row>
    <row r="611" spans="7:9" ht="12.75" x14ac:dyDescent="0.2">
      <c r="G611" s="24"/>
      <c r="H611" s="24"/>
      <c r="I611" s="24"/>
    </row>
    <row r="612" spans="7:9" ht="12.75" x14ac:dyDescent="0.2">
      <c r="G612" s="24"/>
      <c r="H612" s="24"/>
      <c r="I612" s="24"/>
    </row>
    <row r="613" spans="7:9" ht="12.75" x14ac:dyDescent="0.2">
      <c r="G613" s="24"/>
      <c r="H613" s="24"/>
      <c r="I613" s="24"/>
    </row>
    <row r="614" spans="7:9" ht="12.75" x14ac:dyDescent="0.2">
      <c r="G614" s="24"/>
      <c r="H614" s="24"/>
      <c r="I614" s="24"/>
    </row>
    <row r="615" spans="7:9" ht="12.75" x14ac:dyDescent="0.2">
      <c r="G615" s="24"/>
      <c r="H615" s="24"/>
      <c r="I615" s="24"/>
    </row>
    <row r="616" spans="7:9" ht="12.75" x14ac:dyDescent="0.2">
      <c r="G616" s="24"/>
      <c r="H616" s="24"/>
      <c r="I616" s="24"/>
    </row>
    <row r="617" spans="7:9" ht="12.75" x14ac:dyDescent="0.2">
      <c r="G617" s="24"/>
      <c r="H617" s="24"/>
      <c r="I617" s="24"/>
    </row>
    <row r="618" spans="7:9" ht="12.75" x14ac:dyDescent="0.2">
      <c r="G618" s="24"/>
      <c r="H618" s="24"/>
      <c r="I618" s="24"/>
    </row>
    <row r="619" spans="7:9" ht="12.75" x14ac:dyDescent="0.2">
      <c r="G619" s="24"/>
      <c r="H619" s="24"/>
      <c r="I619" s="24"/>
    </row>
    <row r="620" spans="7:9" ht="12.75" x14ac:dyDescent="0.2">
      <c r="G620" s="24"/>
      <c r="H620" s="24"/>
      <c r="I620" s="24"/>
    </row>
    <row r="621" spans="7:9" ht="12.75" x14ac:dyDescent="0.2">
      <c r="G621" s="24"/>
      <c r="H621" s="24"/>
      <c r="I621" s="24"/>
    </row>
    <row r="622" spans="7:9" ht="12.75" x14ac:dyDescent="0.2">
      <c r="G622" s="24"/>
      <c r="H622" s="24"/>
      <c r="I622" s="24"/>
    </row>
    <row r="623" spans="7:9" ht="12.75" x14ac:dyDescent="0.2">
      <c r="G623" s="24"/>
      <c r="H623" s="24"/>
      <c r="I623" s="24"/>
    </row>
    <row r="624" spans="7:9" ht="12.75" x14ac:dyDescent="0.2">
      <c r="G624" s="24"/>
      <c r="H624" s="24"/>
      <c r="I624" s="24"/>
    </row>
    <row r="625" spans="7:9" ht="12.75" x14ac:dyDescent="0.2">
      <c r="G625" s="24"/>
      <c r="H625" s="24"/>
      <c r="I625" s="24"/>
    </row>
    <row r="626" spans="7:9" ht="12.75" x14ac:dyDescent="0.2">
      <c r="G626" s="24"/>
      <c r="H626" s="24"/>
      <c r="I626" s="24"/>
    </row>
    <row r="627" spans="7:9" ht="12.75" x14ac:dyDescent="0.2">
      <c r="G627" s="24"/>
      <c r="H627" s="24"/>
      <c r="I627" s="24"/>
    </row>
    <row r="628" spans="7:9" ht="12.75" x14ac:dyDescent="0.2">
      <c r="G628" s="24"/>
      <c r="H628" s="24"/>
      <c r="I628" s="24"/>
    </row>
    <row r="629" spans="7:9" ht="12.75" x14ac:dyDescent="0.2">
      <c r="G629" s="24"/>
      <c r="H629" s="24"/>
      <c r="I629" s="24"/>
    </row>
    <row r="630" spans="7:9" ht="12.75" x14ac:dyDescent="0.2">
      <c r="G630" s="24"/>
      <c r="H630" s="24"/>
      <c r="I630" s="24"/>
    </row>
    <row r="631" spans="7:9" ht="12.75" x14ac:dyDescent="0.2">
      <c r="G631" s="24"/>
      <c r="H631" s="24"/>
      <c r="I631" s="24"/>
    </row>
    <row r="632" spans="7:9" ht="12.75" x14ac:dyDescent="0.2">
      <c r="G632" s="24"/>
      <c r="H632" s="24"/>
      <c r="I632" s="24"/>
    </row>
    <row r="633" spans="7:9" ht="12.75" x14ac:dyDescent="0.2">
      <c r="G633" s="24"/>
      <c r="H633" s="24"/>
      <c r="I633" s="24"/>
    </row>
    <row r="634" spans="7:9" ht="12.75" x14ac:dyDescent="0.2">
      <c r="G634" s="24"/>
      <c r="H634" s="24"/>
      <c r="I634" s="24"/>
    </row>
    <row r="635" spans="7:9" ht="12.75" x14ac:dyDescent="0.2">
      <c r="G635" s="24"/>
      <c r="H635" s="24"/>
      <c r="I635" s="24"/>
    </row>
    <row r="636" spans="7:9" ht="12.75" x14ac:dyDescent="0.2">
      <c r="G636" s="24"/>
      <c r="H636" s="24"/>
      <c r="I636" s="24"/>
    </row>
    <row r="637" spans="7:9" ht="12.75" x14ac:dyDescent="0.2">
      <c r="G637" s="24"/>
      <c r="H637" s="24"/>
      <c r="I637" s="24"/>
    </row>
    <row r="638" spans="7:9" ht="12.75" x14ac:dyDescent="0.2">
      <c r="G638" s="24"/>
      <c r="H638" s="24"/>
      <c r="I638" s="24"/>
    </row>
    <row r="639" spans="7:9" ht="12.75" x14ac:dyDescent="0.2">
      <c r="G639" s="24"/>
      <c r="H639" s="24"/>
      <c r="I639" s="24"/>
    </row>
    <row r="640" spans="7:9" ht="12.75" x14ac:dyDescent="0.2">
      <c r="G640" s="24"/>
      <c r="H640" s="24"/>
      <c r="I640" s="24"/>
    </row>
    <row r="641" spans="7:9" ht="12.75" x14ac:dyDescent="0.2">
      <c r="G641" s="24"/>
      <c r="H641" s="24"/>
      <c r="I641" s="24"/>
    </row>
    <row r="642" spans="7:9" ht="12.75" x14ac:dyDescent="0.2">
      <c r="G642" s="24"/>
      <c r="H642" s="24"/>
      <c r="I642" s="24"/>
    </row>
    <row r="643" spans="7:9" ht="12.75" x14ac:dyDescent="0.2">
      <c r="G643" s="24"/>
      <c r="H643" s="24"/>
      <c r="I643" s="24"/>
    </row>
    <row r="644" spans="7:9" ht="12.75" x14ac:dyDescent="0.2">
      <c r="G644" s="24"/>
      <c r="H644" s="24"/>
      <c r="I644" s="24"/>
    </row>
    <row r="645" spans="7:9" ht="12.75" x14ac:dyDescent="0.2">
      <c r="G645" s="24"/>
      <c r="H645" s="24"/>
      <c r="I645" s="24"/>
    </row>
    <row r="646" spans="7:9" ht="12.75" x14ac:dyDescent="0.2">
      <c r="G646" s="24"/>
      <c r="H646" s="24"/>
      <c r="I646" s="24"/>
    </row>
    <row r="647" spans="7:9" ht="12.75" x14ac:dyDescent="0.2">
      <c r="G647" s="24"/>
      <c r="H647" s="24"/>
      <c r="I647" s="24"/>
    </row>
    <row r="648" spans="7:9" ht="12.75" x14ac:dyDescent="0.2">
      <c r="G648" s="24"/>
      <c r="H648" s="24"/>
      <c r="I648" s="24"/>
    </row>
    <row r="649" spans="7:9" ht="12.75" x14ac:dyDescent="0.2">
      <c r="G649" s="24"/>
      <c r="H649" s="24"/>
      <c r="I649" s="24"/>
    </row>
    <row r="650" spans="7:9" ht="12.75" x14ac:dyDescent="0.2">
      <c r="G650" s="24"/>
      <c r="H650" s="24"/>
      <c r="I650" s="24"/>
    </row>
    <row r="651" spans="7:9" ht="12.75" x14ac:dyDescent="0.2">
      <c r="G651" s="24"/>
      <c r="H651" s="24"/>
      <c r="I651" s="24"/>
    </row>
    <row r="652" spans="7:9" ht="12.75" x14ac:dyDescent="0.2">
      <c r="G652" s="24"/>
      <c r="H652" s="24"/>
      <c r="I652" s="24"/>
    </row>
    <row r="653" spans="7:9" ht="12.75" x14ac:dyDescent="0.2">
      <c r="G653" s="24"/>
      <c r="H653" s="24"/>
      <c r="I653" s="24"/>
    </row>
    <row r="654" spans="7:9" ht="12.75" x14ac:dyDescent="0.2">
      <c r="G654" s="24"/>
      <c r="H654" s="24"/>
      <c r="I654" s="24"/>
    </row>
    <row r="655" spans="7:9" ht="12.75" x14ac:dyDescent="0.2">
      <c r="G655" s="24"/>
      <c r="H655" s="24"/>
      <c r="I655" s="24"/>
    </row>
    <row r="656" spans="7:9" ht="12.75" x14ac:dyDescent="0.2">
      <c r="G656" s="24"/>
      <c r="H656" s="24"/>
      <c r="I656" s="24"/>
    </row>
    <row r="657" spans="7:9" ht="12.75" x14ac:dyDescent="0.2">
      <c r="G657" s="24"/>
      <c r="H657" s="24"/>
      <c r="I657" s="24"/>
    </row>
    <row r="658" spans="7:9" ht="12.75" x14ac:dyDescent="0.2">
      <c r="G658" s="24"/>
      <c r="H658" s="24"/>
      <c r="I658" s="24"/>
    </row>
    <row r="659" spans="7:9" ht="12.75" x14ac:dyDescent="0.2">
      <c r="G659" s="24"/>
      <c r="H659" s="24"/>
      <c r="I659" s="24"/>
    </row>
    <row r="660" spans="7:9" ht="12.75" x14ac:dyDescent="0.2">
      <c r="G660" s="24"/>
      <c r="H660" s="24"/>
      <c r="I660" s="24"/>
    </row>
    <row r="661" spans="7:9" ht="12.75" x14ac:dyDescent="0.2">
      <c r="G661" s="24"/>
      <c r="H661" s="24"/>
      <c r="I661" s="24"/>
    </row>
    <row r="662" spans="7:9" ht="12.75" x14ac:dyDescent="0.2">
      <c r="G662" s="24"/>
      <c r="H662" s="24"/>
      <c r="I662" s="24"/>
    </row>
    <row r="663" spans="7:9" ht="12.75" x14ac:dyDescent="0.2">
      <c r="G663" s="24"/>
      <c r="H663" s="24"/>
      <c r="I663" s="24"/>
    </row>
    <row r="664" spans="7:9" ht="12.75" x14ac:dyDescent="0.2">
      <c r="G664" s="24"/>
      <c r="H664" s="24"/>
      <c r="I664" s="24"/>
    </row>
    <row r="665" spans="7:9" ht="12.75" x14ac:dyDescent="0.2">
      <c r="G665" s="24"/>
      <c r="H665" s="24"/>
      <c r="I665" s="24"/>
    </row>
    <row r="666" spans="7:9" ht="12.75" x14ac:dyDescent="0.2">
      <c r="G666" s="24"/>
      <c r="H666" s="24"/>
      <c r="I666" s="24"/>
    </row>
    <row r="667" spans="7:9" ht="12.75" x14ac:dyDescent="0.2">
      <c r="G667" s="24"/>
      <c r="H667" s="24"/>
      <c r="I667" s="24"/>
    </row>
    <row r="668" spans="7:9" ht="12.75" x14ac:dyDescent="0.2">
      <c r="G668" s="24"/>
      <c r="H668" s="24"/>
      <c r="I668" s="24"/>
    </row>
    <row r="669" spans="7:9" ht="12.75" x14ac:dyDescent="0.2">
      <c r="G669" s="24"/>
      <c r="H669" s="24"/>
      <c r="I669" s="24"/>
    </row>
    <row r="670" spans="7:9" ht="12.75" x14ac:dyDescent="0.2">
      <c r="G670" s="24"/>
      <c r="H670" s="24"/>
      <c r="I670" s="24"/>
    </row>
    <row r="671" spans="7:9" ht="12.75" x14ac:dyDescent="0.2">
      <c r="G671" s="24"/>
      <c r="H671" s="24"/>
      <c r="I671" s="24"/>
    </row>
    <row r="672" spans="7:9" ht="12.75" x14ac:dyDescent="0.2">
      <c r="G672" s="24"/>
      <c r="H672" s="24"/>
      <c r="I672" s="24"/>
    </row>
    <row r="673" spans="7:9" ht="12.75" x14ac:dyDescent="0.2">
      <c r="G673" s="24"/>
      <c r="H673" s="24"/>
      <c r="I673" s="24"/>
    </row>
    <row r="674" spans="7:9" ht="12.75" x14ac:dyDescent="0.2">
      <c r="G674" s="24"/>
      <c r="H674" s="24"/>
      <c r="I674" s="24"/>
    </row>
    <row r="675" spans="7:9" ht="12.75" x14ac:dyDescent="0.2">
      <c r="G675" s="24"/>
      <c r="H675" s="24"/>
      <c r="I675" s="24"/>
    </row>
    <row r="676" spans="7:9" ht="12.75" x14ac:dyDescent="0.2">
      <c r="G676" s="24"/>
      <c r="H676" s="24"/>
      <c r="I676" s="24"/>
    </row>
    <row r="677" spans="7:9" ht="12.75" x14ac:dyDescent="0.2">
      <c r="G677" s="24"/>
      <c r="H677" s="24"/>
      <c r="I677" s="24"/>
    </row>
    <row r="678" spans="7:9" ht="12.75" x14ac:dyDescent="0.2">
      <c r="G678" s="24"/>
      <c r="H678" s="24"/>
      <c r="I678" s="24"/>
    </row>
    <row r="679" spans="7:9" ht="12.75" x14ac:dyDescent="0.2">
      <c r="G679" s="24"/>
      <c r="H679" s="24"/>
      <c r="I679" s="24"/>
    </row>
    <row r="680" spans="7:9" ht="12.75" x14ac:dyDescent="0.2">
      <c r="G680" s="24"/>
      <c r="H680" s="24"/>
      <c r="I680" s="24"/>
    </row>
    <row r="681" spans="7:9" ht="12.75" x14ac:dyDescent="0.2">
      <c r="G681" s="24"/>
      <c r="H681" s="24"/>
      <c r="I681" s="24"/>
    </row>
    <row r="682" spans="7:9" ht="12.75" x14ac:dyDescent="0.2">
      <c r="G682" s="24"/>
      <c r="H682" s="24"/>
      <c r="I682" s="24"/>
    </row>
    <row r="683" spans="7:9" ht="12.75" x14ac:dyDescent="0.2">
      <c r="G683" s="24"/>
      <c r="H683" s="24"/>
      <c r="I683" s="24"/>
    </row>
    <row r="684" spans="7:9" ht="12.75" x14ac:dyDescent="0.2">
      <c r="G684" s="24"/>
      <c r="H684" s="24"/>
      <c r="I684" s="24"/>
    </row>
    <row r="685" spans="7:9" ht="12.75" x14ac:dyDescent="0.2">
      <c r="G685" s="24"/>
      <c r="H685" s="24"/>
      <c r="I685" s="24"/>
    </row>
    <row r="686" spans="7:9" ht="12.75" x14ac:dyDescent="0.2">
      <c r="G686" s="24"/>
      <c r="H686" s="24"/>
      <c r="I686" s="24"/>
    </row>
    <row r="687" spans="7:9" ht="12.75" x14ac:dyDescent="0.2">
      <c r="G687" s="24"/>
      <c r="H687" s="24"/>
      <c r="I687" s="24"/>
    </row>
    <row r="688" spans="7:9" ht="12.75" x14ac:dyDescent="0.2">
      <c r="G688" s="24"/>
      <c r="H688" s="24"/>
      <c r="I688" s="24"/>
    </row>
    <row r="689" spans="7:9" ht="12.75" x14ac:dyDescent="0.2">
      <c r="G689" s="24"/>
      <c r="H689" s="24"/>
      <c r="I689" s="24"/>
    </row>
    <row r="690" spans="7:9" ht="12.75" x14ac:dyDescent="0.2">
      <c r="G690" s="24"/>
      <c r="H690" s="24"/>
      <c r="I690" s="24"/>
    </row>
    <row r="691" spans="7:9" ht="12.75" x14ac:dyDescent="0.2">
      <c r="G691" s="24"/>
      <c r="H691" s="24"/>
      <c r="I691" s="24"/>
    </row>
    <row r="692" spans="7:9" ht="12.75" x14ac:dyDescent="0.2">
      <c r="G692" s="24"/>
      <c r="H692" s="24"/>
      <c r="I692" s="24"/>
    </row>
    <row r="693" spans="7:9" ht="12.75" x14ac:dyDescent="0.2">
      <c r="G693" s="24"/>
      <c r="H693" s="24"/>
      <c r="I693" s="24"/>
    </row>
    <row r="694" spans="7:9" ht="12.75" x14ac:dyDescent="0.2">
      <c r="G694" s="24"/>
      <c r="H694" s="24"/>
      <c r="I694" s="24"/>
    </row>
    <row r="695" spans="7:9" ht="12.75" x14ac:dyDescent="0.2">
      <c r="G695" s="24"/>
      <c r="H695" s="24"/>
      <c r="I695" s="24"/>
    </row>
    <row r="696" spans="7:9" ht="12.75" x14ac:dyDescent="0.2">
      <c r="G696" s="24"/>
      <c r="H696" s="24"/>
      <c r="I696" s="24"/>
    </row>
    <row r="697" spans="7:9" ht="12.75" x14ac:dyDescent="0.2">
      <c r="G697" s="24"/>
      <c r="H697" s="24"/>
      <c r="I697" s="24"/>
    </row>
    <row r="698" spans="7:9" ht="12.75" x14ac:dyDescent="0.2">
      <c r="G698" s="24"/>
      <c r="H698" s="24"/>
      <c r="I698" s="24"/>
    </row>
    <row r="699" spans="7:9" ht="12.75" x14ac:dyDescent="0.2">
      <c r="G699" s="24"/>
      <c r="H699" s="24"/>
      <c r="I699" s="24"/>
    </row>
    <row r="700" spans="7:9" ht="12.75" x14ac:dyDescent="0.2">
      <c r="G700" s="24"/>
      <c r="H700" s="24"/>
      <c r="I700" s="24"/>
    </row>
    <row r="701" spans="7:9" ht="12.75" x14ac:dyDescent="0.2">
      <c r="G701" s="24"/>
      <c r="H701" s="24"/>
      <c r="I701" s="24"/>
    </row>
    <row r="702" spans="7:9" ht="12.75" x14ac:dyDescent="0.2">
      <c r="G702" s="24"/>
      <c r="H702" s="24"/>
      <c r="I702" s="24"/>
    </row>
    <row r="703" spans="7:9" ht="12.75" x14ac:dyDescent="0.2">
      <c r="G703" s="24"/>
      <c r="H703" s="24"/>
      <c r="I703" s="24"/>
    </row>
    <row r="704" spans="7:9" ht="12.75" x14ac:dyDescent="0.2">
      <c r="G704" s="24"/>
      <c r="H704" s="24"/>
      <c r="I704" s="24"/>
    </row>
    <row r="705" spans="7:9" ht="12.75" x14ac:dyDescent="0.2">
      <c r="G705" s="24"/>
      <c r="H705" s="24"/>
      <c r="I705" s="24"/>
    </row>
    <row r="706" spans="7:9" ht="12.75" x14ac:dyDescent="0.2">
      <c r="G706" s="24"/>
      <c r="H706" s="24"/>
      <c r="I706" s="24"/>
    </row>
    <row r="707" spans="7:9" ht="12.75" x14ac:dyDescent="0.2">
      <c r="G707" s="24"/>
      <c r="H707" s="24"/>
      <c r="I707" s="24"/>
    </row>
    <row r="708" spans="7:9" ht="12.75" x14ac:dyDescent="0.2">
      <c r="G708" s="24"/>
      <c r="H708" s="24"/>
      <c r="I708" s="24"/>
    </row>
    <row r="709" spans="7:9" ht="12.75" x14ac:dyDescent="0.2">
      <c r="G709" s="24"/>
      <c r="H709" s="24"/>
      <c r="I709" s="24"/>
    </row>
    <row r="710" spans="7:9" ht="12.75" x14ac:dyDescent="0.2">
      <c r="G710" s="24"/>
      <c r="H710" s="24"/>
      <c r="I710" s="24"/>
    </row>
    <row r="711" spans="7:9" ht="12.75" x14ac:dyDescent="0.2">
      <c r="G711" s="24"/>
      <c r="H711" s="24"/>
      <c r="I711" s="24"/>
    </row>
    <row r="712" spans="7:9" ht="12.75" x14ac:dyDescent="0.2">
      <c r="G712" s="24"/>
      <c r="H712" s="24"/>
      <c r="I712" s="24"/>
    </row>
    <row r="713" spans="7:9" ht="12.75" x14ac:dyDescent="0.2">
      <c r="G713" s="24"/>
      <c r="H713" s="24"/>
      <c r="I713" s="24"/>
    </row>
    <row r="714" spans="7:9" ht="12.75" x14ac:dyDescent="0.2">
      <c r="G714" s="24"/>
      <c r="H714" s="24"/>
      <c r="I714" s="24"/>
    </row>
    <row r="715" spans="7:9" ht="12.75" x14ac:dyDescent="0.2">
      <c r="G715" s="24"/>
      <c r="H715" s="24"/>
      <c r="I715" s="24"/>
    </row>
    <row r="716" spans="7:9" ht="12.75" x14ac:dyDescent="0.2">
      <c r="G716" s="24"/>
      <c r="H716" s="24"/>
      <c r="I716" s="24"/>
    </row>
    <row r="717" spans="7:9" ht="12.75" x14ac:dyDescent="0.2">
      <c r="G717" s="24"/>
      <c r="H717" s="24"/>
      <c r="I717" s="24"/>
    </row>
    <row r="718" spans="7:9" ht="12.75" x14ac:dyDescent="0.2">
      <c r="G718" s="24"/>
      <c r="H718" s="24"/>
      <c r="I718" s="24"/>
    </row>
    <row r="719" spans="7:9" ht="12.75" x14ac:dyDescent="0.2">
      <c r="G719" s="24"/>
      <c r="H719" s="24"/>
      <c r="I719" s="24"/>
    </row>
    <row r="720" spans="7:9" ht="12.75" x14ac:dyDescent="0.2">
      <c r="G720" s="24"/>
      <c r="H720" s="24"/>
      <c r="I720" s="24"/>
    </row>
    <row r="721" spans="7:9" ht="12.75" x14ac:dyDescent="0.2">
      <c r="G721" s="24"/>
      <c r="H721" s="24"/>
      <c r="I721" s="24"/>
    </row>
    <row r="722" spans="7:9" ht="12.75" x14ac:dyDescent="0.2">
      <c r="G722" s="24"/>
      <c r="H722" s="24"/>
      <c r="I722" s="24"/>
    </row>
    <row r="723" spans="7:9" ht="12.75" x14ac:dyDescent="0.2">
      <c r="G723" s="24"/>
      <c r="H723" s="24"/>
      <c r="I723" s="24"/>
    </row>
    <row r="724" spans="7:9" ht="12.75" x14ac:dyDescent="0.2">
      <c r="G724" s="24"/>
      <c r="H724" s="24"/>
      <c r="I724" s="24"/>
    </row>
    <row r="725" spans="7:9" ht="12.75" x14ac:dyDescent="0.2">
      <c r="G725" s="24"/>
      <c r="H725" s="24"/>
      <c r="I725" s="24"/>
    </row>
    <row r="726" spans="7:9" ht="12.75" x14ac:dyDescent="0.2">
      <c r="G726" s="24"/>
      <c r="H726" s="24"/>
      <c r="I726" s="24"/>
    </row>
    <row r="727" spans="7:9" ht="12.75" x14ac:dyDescent="0.2">
      <c r="G727" s="24"/>
      <c r="H727" s="24"/>
      <c r="I727" s="24"/>
    </row>
    <row r="728" spans="7:9" ht="12.75" x14ac:dyDescent="0.2">
      <c r="G728" s="24"/>
      <c r="H728" s="24"/>
      <c r="I728" s="24"/>
    </row>
    <row r="729" spans="7:9" ht="12.75" x14ac:dyDescent="0.2">
      <c r="G729" s="24"/>
      <c r="H729" s="24"/>
      <c r="I729" s="24"/>
    </row>
    <row r="730" spans="7:9" ht="12.75" x14ac:dyDescent="0.2">
      <c r="G730" s="24"/>
      <c r="H730" s="24"/>
      <c r="I730" s="24"/>
    </row>
    <row r="731" spans="7:9" ht="12.75" x14ac:dyDescent="0.2">
      <c r="G731" s="24"/>
      <c r="H731" s="24"/>
      <c r="I731" s="24"/>
    </row>
    <row r="732" spans="7:9" ht="12.75" x14ac:dyDescent="0.2">
      <c r="G732" s="24"/>
      <c r="H732" s="24"/>
      <c r="I732" s="24"/>
    </row>
    <row r="733" spans="7:9" ht="12.75" x14ac:dyDescent="0.2">
      <c r="G733" s="24"/>
      <c r="H733" s="24"/>
      <c r="I733" s="24"/>
    </row>
    <row r="734" spans="7:9" ht="12.75" x14ac:dyDescent="0.2">
      <c r="G734" s="24"/>
      <c r="H734" s="24"/>
      <c r="I734" s="24"/>
    </row>
    <row r="735" spans="7:9" ht="12.75" x14ac:dyDescent="0.2">
      <c r="G735" s="24"/>
      <c r="H735" s="24"/>
      <c r="I735" s="24"/>
    </row>
    <row r="736" spans="7:9" ht="12.75" x14ac:dyDescent="0.2">
      <c r="G736" s="24"/>
      <c r="H736" s="24"/>
      <c r="I736" s="24"/>
    </row>
    <row r="737" spans="7:9" ht="12.75" x14ac:dyDescent="0.2">
      <c r="G737" s="24"/>
      <c r="H737" s="24"/>
      <c r="I737" s="24"/>
    </row>
    <row r="738" spans="7:9" ht="12.75" x14ac:dyDescent="0.2">
      <c r="G738" s="24"/>
      <c r="H738" s="24"/>
      <c r="I738" s="24"/>
    </row>
    <row r="739" spans="7:9" ht="12.75" x14ac:dyDescent="0.2">
      <c r="G739" s="24"/>
      <c r="H739" s="24"/>
      <c r="I739" s="24"/>
    </row>
    <row r="740" spans="7:9" ht="12.75" x14ac:dyDescent="0.2">
      <c r="G740" s="24"/>
      <c r="H740" s="24"/>
      <c r="I740" s="24"/>
    </row>
    <row r="741" spans="7:9" ht="12.75" x14ac:dyDescent="0.2">
      <c r="G741" s="24"/>
      <c r="H741" s="24"/>
      <c r="I741" s="24"/>
    </row>
    <row r="742" spans="7:9" ht="12.75" x14ac:dyDescent="0.2">
      <c r="G742" s="24"/>
      <c r="H742" s="24"/>
      <c r="I742" s="24"/>
    </row>
    <row r="743" spans="7:9" ht="12.75" x14ac:dyDescent="0.2">
      <c r="G743" s="24"/>
      <c r="H743" s="24"/>
      <c r="I743" s="24"/>
    </row>
    <row r="744" spans="7:9" ht="12.75" x14ac:dyDescent="0.2">
      <c r="G744" s="24"/>
      <c r="H744" s="24"/>
      <c r="I744" s="24"/>
    </row>
    <row r="745" spans="7:9" ht="12.75" x14ac:dyDescent="0.2">
      <c r="G745" s="24"/>
      <c r="H745" s="24"/>
      <c r="I745" s="24"/>
    </row>
    <row r="746" spans="7:9" ht="12.75" x14ac:dyDescent="0.2">
      <c r="G746" s="24"/>
      <c r="H746" s="24"/>
      <c r="I746" s="24"/>
    </row>
    <row r="747" spans="7:9" ht="12.75" x14ac:dyDescent="0.2">
      <c r="G747" s="24"/>
      <c r="H747" s="24"/>
      <c r="I747" s="24"/>
    </row>
    <row r="748" spans="7:9" ht="12.75" x14ac:dyDescent="0.2">
      <c r="G748" s="24"/>
      <c r="H748" s="24"/>
      <c r="I748" s="24"/>
    </row>
    <row r="749" spans="7:9" ht="12.75" x14ac:dyDescent="0.2">
      <c r="G749" s="24"/>
      <c r="H749" s="24"/>
      <c r="I749" s="24"/>
    </row>
    <row r="750" spans="7:9" ht="12.75" x14ac:dyDescent="0.2">
      <c r="G750" s="24"/>
      <c r="H750" s="24"/>
      <c r="I750" s="24"/>
    </row>
    <row r="751" spans="7:9" ht="12.75" x14ac:dyDescent="0.2">
      <c r="G751" s="24"/>
      <c r="H751" s="24"/>
      <c r="I751" s="24"/>
    </row>
    <row r="752" spans="7:9" ht="12.75" x14ac:dyDescent="0.2">
      <c r="G752" s="24"/>
      <c r="H752" s="24"/>
      <c r="I752" s="24"/>
    </row>
    <row r="753" spans="7:9" ht="12.75" x14ac:dyDescent="0.2">
      <c r="G753" s="24"/>
      <c r="H753" s="24"/>
      <c r="I753" s="24"/>
    </row>
    <row r="754" spans="7:9" ht="12.75" x14ac:dyDescent="0.2">
      <c r="G754" s="24"/>
      <c r="H754" s="24"/>
      <c r="I754" s="24"/>
    </row>
    <row r="755" spans="7:9" ht="12.75" x14ac:dyDescent="0.2">
      <c r="G755" s="24"/>
      <c r="H755" s="24"/>
      <c r="I755" s="24"/>
    </row>
    <row r="756" spans="7:9" ht="12.75" x14ac:dyDescent="0.2">
      <c r="G756" s="24"/>
      <c r="H756" s="24"/>
      <c r="I756" s="24"/>
    </row>
    <row r="757" spans="7:9" ht="12.75" x14ac:dyDescent="0.2">
      <c r="G757" s="24"/>
      <c r="H757" s="24"/>
      <c r="I757" s="24"/>
    </row>
    <row r="758" spans="7:9" ht="12.75" x14ac:dyDescent="0.2">
      <c r="G758" s="24"/>
      <c r="H758" s="24"/>
      <c r="I758" s="24"/>
    </row>
    <row r="759" spans="7:9" ht="12.75" x14ac:dyDescent="0.2">
      <c r="G759" s="24"/>
      <c r="H759" s="24"/>
      <c r="I759" s="24"/>
    </row>
    <row r="760" spans="7:9" ht="12.75" x14ac:dyDescent="0.2">
      <c r="G760" s="24"/>
      <c r="H760" s="24"/>
      <c r="I760" s="24"/>
    </row>
    <row r="761" spans="7:9" ht="12.75" x14ac:dyDescent="0.2">
      <c r="G761" s="24"/>
      <c r="H761" s="24"/>
      <c r="I761" s="24"/>
    </row>
    <row r="762" spans="7:9" ht="12.75" x14ac:dyDescent="0.2">
      <c r="G762" s="24"/>
      <c r="H762" s="24"/>
      <c r="I762" s="24"/>
    </row>
    <row r="763" spans="7:9" ht="12.75" x14ac:dyDescent="0.2">
      <c r="G763" s="24"/>
      <c r="H763" s="24"/>
      <c r="I763" s="24"/>
    </row>
    <row r="764" spans="7:9" ht="12.75" x14ac:dyDescent="0.2">
      <c r="G764" s="24"/>
      <c r="H764" s="24"/>
      <c r="I764" s="24"/>
    </row>
    <row r="765" spans="7:9" ht="12.75" x14ac:dyDescent="0.2">
      <c r="G765" s="24"/>
      <c r="H765" s="24"/>
      <c r="I765" s="24"/>
    </row>
    <row r="766" spans="7:9" ht="12.75" x14ac:dyDescent="0.2">
      <c r="G766" s="24"/>
      <c r="H766" s="24"/>
      <c r="I766" s="24"/>
    </row>
    <row r="767" spans="7:9" ht="12.75" x14ac:dyDescent="0.2">
      <c r="G767" s="24"/>
      <c r="H767" s="24"/>
      <c r="I767" s="24"/>
    </row>
    <row r="768" spans="7:9" ht="12.75" x14ac:dyDescent="0.2">
      <c r="G768" s="24"/>
      <c r="H768" s="24"/>
      <c r="I768" s="24"/>
    </row>
    <row r="769" spans="7:9" ht="12.75" x14ac:dyDescent="0.2">
      <c r="G769" s="24"/>
      <c r="H769" s="24"/>
      <c r="I769" s="24"/>
    </row>
    <row r="770" spans="7:9" ht="12.75" x14ac:dyDescent="0.2">
      <c r="G770" s="24"/>
      <c r="H770" s="24"/>
      <c r="I770" s="24"/>
    </row>
    <row r="771" spans="7:9" ht="12.75" x14ac:dyDescent="0.2">
      <c r="G771" s="24"/>
      <c r="H771" s="24"/>
      <c r="I771" s="24"/>
    </row>
    <row r="772" spans="7:9" ht="12.75" x14ac:dyDescent="0.2">
      <c r="G772" s="24"/>
      <c r="H772" s="24"/>
      <c r="I772" s="24"/>
    </row>
    <row r="773" spans="7:9" ht="12.75" x14ac:dyDescent="0.2">
      <c r="G773" s="24"/>
      <c r="H773" s="24"/>
      <c r="I773" s="24"/>
    </row>
    <row r="774" spans="7:9" ht="12.75" x14ac:dyDescent="0.2">
      <c r="G774" s="24"/>
      <c r="H774" s="24"/>
      <c r="I774" s="24"/>
    </row>
    <row r="775" spans="7:9" ht="12.75" x14ac:dyDescent="0.2">
      <c r="G775" s="24"/>
      <c r="H775" s="24"/>
      <c r="I775" s="24"/>
    </row>
    <row r="776" spans="7:9" ht="12.75" x14ac:dyDescent="0.2">
      <c r="G776" s="24"/>
      <c r="H776" s="24"/>
      <c r="I776" s="24"/>
    </row>
    <row r="777" spans="7:9" ht="12.75" x14ac:dyDescent="0.2">
      <c r="G777" s="24"/>
      <c r="H777" s="24"/>
      <c r="I777" s="24"/>
    </row>
    <row r="778" spans="7:9" ht="12.75" x14ac:dyDescent="0.2">
      <c r="G778" s="24"/>
      <c r="H778" s="24"/>
      <c r="I778" s="24"/>
    </row>
    <row r="779" spans="7:9" ht="12.75" x14ac:dyDescent="0.2">
      <c r="G779" s="24"/>
      <c r="H779" s="24"/>
      <c r="I779" s="24"/>
    </row>
    <row r="780" spans="7:9" ht="12.75" x14ac:dyDescent="0.2">
      <c r="G780" s="24"/>
      <c r="H780" s="24"/>
      <c r="I780" s="24"/>
    </row>
    <row r="781" spans="7:9" ht="12.75" x14ac:dyDescent="0.2">
      <c r="G781" s="24"/>
      <c r="H781" s="24"/>
      <c r="I781" s="24"/>
    </row>
    <row r="782" spans="7:9" ht="12.75" x14ac:dyDescent="0.2">
      <c r="G782" s="24"/>
      <c r="H782" s="24"/>
      <c r="I782" s="24"/>
    </row>
    <row r="783" spans="7:9" ht="12.75" x14ac:dyDescent="0.2">
      <c r="G783" s="24"/>
      <c r="H783" s="24"/>
      <c r="I783" s="24"/>
    </row>
    <row r="784" spans="7:9" ht="12.75" x14ac:dyDescent="0.2">
      <c r="G784" s="24"/>
      <c r="H784" s="24"/>
      <c r="I784" s="24"/>
    </row>
    <row r="785" spans="7:9" ht="12.75" x14ac:dyDescent="0.2">
      <c r="G785" s="24"/>
      <c r="H785" s="24"/>
      <c r="I785" s="24"/>
    </row>
    <row r="786" spans="7:9" ht="12.75" x14ac:dyDescent="0.2">
      <c r="G786" s="24"/>
      <c r="H786" s="24"/>
      <c r="I786" s="24"/>
    </row>
    <row r="787" spans="7:9" ht="12.75" x14ac:dyDescent="0.2">
      <c r="G787" s="24"/>
      <c r="H787" s="24"/>
      <c r="I787" s="24"/>
    </row>
    <row r="788" spans="7:9" ht="12.75" x14ac:dyDescent="0.2">
      <c r="G788" s="24"/>
      <c r="H788" s="24"/>
      <c r="I788" s="24"/>
    </row>
    <row r="789" spans="7:9" ht="12.75" x14ac:dyDescent="0.2">
      <c r="G789" s="24"/>
      <c r="H789" s="24"/>
      <c r="I789" s="24"/>
    </row>
    <row r="790" spans="7:9" ht="12.75" x14ac:dyDescent="0.2">
      <c r="G790" s="24"/>
      <c r="H790" s="24"/>
      <c r="I790" s="24"/>
    </row>
    <row r="791" spans="7:9" ht="12.75" x14ac:dyDescent="0.2">
      <c r="G791" s="24"/>
      <c r="H791" s="24"/>
      <c r="I791" s="24"/>
    </row>
    <row r="792" spans="7:9" ht="12.75" x14ac:dyDescent="0.2">
      <c r="G792" s="24"/>
      <c r="H792" s="24"/>
      <c r="I792" s="24"/>
    </row>
    <row r="793" spans="7:9" ht="12.75" x14ac:dyDescent="0.2">
      <c r="G793" s="24"/>
      <c r="H793" s="24"/>
      <c r="I793" s="24"/>
    </row>
    <row r="794" spans="7:9" ht="12.75" x14ac:dyDescent="0.2">
      <c r="G794" s="24"/>
      <c r="H794" s="24"/>
      <c r="I794" s="24"/>
    </row>
    <row r="795" spans="7:9" ht="12.75" x14ac:dyDescent="0.2">
      <c r="G795" s="24"/>
      <c r="H795" s="24"/>
      <c r="I795" s="24"/>
    </row>
    <row r="796" spans="7:9" ht="12.75" x14ac:dyDescent="0.2">
      <c r="G796" s="24"/>
      <c r="H796" s="24"/>
      <c r="I796" s="24"/>
    </row>
    <row r="797" spans="7:9" ht="12.75" x14ac:dyDescent="0.2">
      <c r="G797" s="24"/>
      <c r="H797" s="24"/>
      <c r="I797" s="24"/>
    </row>
    <row r="798" spans="7:9" ht="12.75" x14ac:dyDescent="0.2">
      <c r="G798" s="24"/>
      <c r="H798" s="24"/>
      <c r="I798" s="24"/>
    </row>
    <row r="799" spans="7:9" ht="12.75" x14ac:dyDescent="0.2">
      <c r="G799" s="24"/>
      <c r="H799" s="24"/>
      <c r="I799" s="24"/>
    </row>
    <row r="800" spans="7:9" ht="12.75" x14ac:dyDescent="0.2">
      <c r="G800" s="24"/>
      <c r="H800" s="24"/>
      <c r="I800" s="24"/>
    </row>
    <row r="801" spans="7:9" ht="12.75" x14ac:dyDescent="0.2">
      <c r="G801" s="24"/>
      <c r="H801" s="24"/>
      <c r="I801" s="24"/>
    </row>
    <row r="802" spans="7:9" ht="12.75" x14ac:dyDescent="0.2">
      <c r="G802" s="24"/>
      <c r="H802" s="24"/>
      <c r="I802" s="24"/>
    </row>
    <row r="803" spans="7:9" ht="12.75" x14ac:dyDescent="0.2">
      <c r="G803" s="24"/>
      <c r="H803" s="24"/>
      <c r="I803" s="24"/>
    </row>
    <row r="804" spans="7:9" ht="12.75" x14ac:dyDescent="0.2">
      <c r="G804" s="24"/>
      <c r="H804" s="24"/>
      <c r="I804" s="24"/>
    </row>
    <row r="805" spans="7:9" ht="12.75" x14ac:dyDescent="0.2">
      <c r="G805" s="24"/>
      <c r="H805" s="24"/>
      <c r="I805" s="24"/>
    </row>
    <row r="806" spans="7:9" ht="12.75" x14ac:dyDescent="0.2">
      <c r="G806" s="24"/>
      <c r="H806" s="24"/>
      <c r="I806" s="24"/>
    </row>
    <row r="807" spans="7:9" ht="12.75" x14ac:dyDescent="0.2">
      <c r="G807" s="24"/>
      <c r="H807" s="24"/>
      <c r="I807" s="24"/>
    </row>
    <row r="808" spans="7:9" ht="12.75" x14ac:dyDescent="0.2">
      <c r="G808" s="24"/>
      <c r="H808" s="24"/>
      <c r="I808" s="24"/>
    </row>
    <row r="809" spans="7:9" ht="12.75" x14ac:dyDescent="0.2">
      <c r="G809" s="24"/>
      <c r="H809" s="24"/>
      <c r="I809" s="24"/>
    </row>
    <row r="810" spans="7:9" ht="12.75" x14ac:dyDescent="0.2">
      <c r="G810" s="24"/>
      <c r="H810" s="24"/>
      <c r="I810" s="24"/>
    </row>
    <row r="811" spans="7:9" ht="12.75" x14ac:dyDescent="0.2">
      <c r="G811" s="24"/>
      <c r="H811" s="24"/>
      <c r="I811" s="24"/>
    </row>
    <row r="812" spans="7:9" ht="12.75" x14ac:dyDescent="0.2">
      <c r="G812" s="24"/>
      <c r="H812" s="24"/>
      <c r="I812" s="24"/>
    </row>
    <row r="813" spans="7:9" ht="12.75" x14ac:dyDescent="0.2">
      <c r="G813" s="24"/>
      <c r="H813" s="24"/>
      <c r="I813" s="24"/>
    </row>
    <row r="814" spans="7:9" ht="12.75" x14ac:dyDescent="0.2">
      <c r="G814" s="24"/>
      <c r="H814" s="24"/>
      <c r="I814" s="24"/>
    </row>
    <row r="815" spans="7:9" ht="12.75" x14ac:dyDescent="0.2">
      <c r="G815" s="24"/>
      <c r="H815" s="24"/>
      <c r="I815" s="24"/>
    </row>
    <row r="816" spans="7:9" ht="12.75" x14ac:dyDescent="0.2">
      <c r="G816" s="24"/>
      <c r="H816" s="24"/>
      <c r="I816" s="24"/>
    </row>
    <row r="817" spans="7:9" ht="12.75" x14ac:dyDescent="0.2">
      <c r="G817" s="24"/>
      <c r="H817" s="24"/>
      <c r="I817" s="24"/>
    </row>
    <row r="818" spans="7:9" ht="12.75" x14ac:dyDescent="0.2">
      <c r="G818" s="24"/>
      <c r="H818" s="24"/>
      <c r="I818" s="24"/>
    </row>
    <row r="819" spans="7:9" ht="12.75" x14ac:dyDescent="0.2">
      <c r="G819" s="24"/>
      <c r="H819" s="24"/>
      <c r="I819" s="24"/>
    </row>
    <row r="820" spans="7:9" ht="12.75" x14ac:dyDescent="0.2">
      <c r="G820" s="24"/>
      <c r="H820" s="24"/>
      <c r="I820" s="24"/>
    </row>
    <row r="821" spans="7:9" ht="12.75" x14ac:dyDescent="0.2">
      <c r="G821" s="24"/>
      <c r="H821" s="24"/>
      <c r="I821" s="24"/>
    </row>
    <row r="822" spans="7:9" ht="12.75" x14ac:dyDescent="0.2">
      <c r="G822" s="24"/>
      <c r="H822" s="24"/>
      <c r="I822" s="24"/>
    </row>
    <row r="823" spans="7:9" ht="12.75" x14ac:dyDescent="0.2">
      <c r="G823" s="24"/>
      <c r="H823" s="24"/>
      <c r="I823" s="24"/>
    </row>
    <row r="824" spans="7:9" ht="12.75" x14ac:dyDescent="0.2">
      <c r="G824" s="24"/>
      <c r="H824" s="24"/>
      <c r="I824" s="24"/>
    </row>
    <row r="825" spans="7:9" ht="12.75" x14ac:dyDescent="0.2">
      <c r="G825" s="24"/>
      <c r="H825" s="24"/>
      <c r="I825" s="24"/>
    </row>
    <row r="826" spans="7:9" ht="12.75" x14ac:dyDescent="0.2">
      <c r="G826" s="24"/>
      <c r="H826" s="24"/>
      <c r="I826" s="24"/>
    </row>
    <row r="827" spans="7:9" ht="12.75" x14ac:dyDescent="0.2">
      <c r="G827" s="24"/>
      <c r="H827" s="24"/>
      <c r="I827" s="24"/>
    </row>
    <row r="828" spans="7:9" ht="12.75" x14ac:dyDescent="0.2">
      <c r="G828" s="24"/>
      <c r="H828" s="24"/>
      <c r="I828" s="24"/>
    </row>
    <row r="829" spans="7:9" ht="12.75" x14ac:dyDescent="0.2">
      <c r="G829" s="24"/>
      <c r="H829" s="24"/>
      <c r="I829" s="24"/>
    </row>
    <row r="830" spans="7:9" ht="12.75" x14ac:dyDescent="0.2">
      <c r="G830" s="24"/>
      <c r="H830" s="24"/>
      <c r="I830" s="24"/>
    </row>
    <row r="831" spans="7:9" ht="12.75" x14ac:dyDescent="0.2">
      <c r="G831" s="24"/>
      <c r="H831" s="24"/>
      <c r="I831" s="24"/>
    </row>
    <row r="832" spans="7:9" ht="12.75" x14ac:dyDescent="0.2">
      <c r="G832" s="24"/>
      <c r="H832" s="24"/>
      <c r="I832" s="24"/>
    </row>
    <row r="833" spans="7:9" ht="12.75" x14ac:dyDescent="0.2">
      <c r="G833" s="24"/>
      <c r="H833" s="24"/>
      <c r="I833" s="24"/>
    </row>
    <row r="834" spans="7:9" ht="12.75" x14ac:dyDescent="0.2">
      <c r="G834" s="24"/>
      <c r="H834" s="24"/>
      <c r="I834" s="24"/>
    </row>
    <row r="835" spans="7:9" ht="12.75" x14ac:dyDescent="0.2">
      <c r="G835" s="24"/>
      <c r="H835" s="24"/>
      <c r="I835" s="24"/>
    </row>
    <row r="836" spans="7:9" ht="12.75" x14ac:dyDescent="0.2">
      <c r="G836" s="24"/>
      <c r="H836" s="24"/>
      <c r="I836" s="24"/>
    </row>
    <row r="837" spans="7:9" ht="12.75" x14ac:dyDescent="0.2">
      <c r="G837" s="24"/>
      <c r="H837" s="24"/>
      <c r="I837" s="24"/>
    </row>
    <row r="838" spans="7:9" ht="12.75" x14ac:dyDescent="0.2">
      <c r="G838" s="24"/>
      <c r="H838" s="24"/>
      <c r="I838" s="24"/>
    </row>
    <row r="839" spans="7:9" ht="12.75" x14ac:dyDescent="0.2">
      <c r="G839" s="24"/>
      <c r="H839" s="24"/>
      <c r="I839" s="24"/>
    </row>
    <row r="840" spans="7:9" ht="12.75" x14ac:dyDescent="0.2">
      <c r="G840" s="24"/>
      <c r="H840" s="24"/>
      <c r="I840" s="24"/>
    </row>
    <row r="841" spans="7:9" ht="12.75" x14ac:dyDescent="0.2">
      <c r="G841" s="24"/>
      <c r="H841" s="24"/>
      <c r="I841" s="24"/>
    </row>
    <row r="842" spans="7:9" ht="12.75" x14ac:dyDescent="0.2">
      <c r="G842" s="24"/>
      <c r="H842" s="24"/>
      <c r="I842" s="24"/>
    </row>
    <row r="843" spans="7:9" ht="12.75" x14ac:dyDescent="0.2">
      <c r="G843" s="24"/>
      <c r="H843" s="24"/>
      <c r="I843" s="24"/>
    </row>
    <row r="844" spans="7:9" ht="12.75" x14ac:dyDescent="0.2">
      <c r="G844" s="24"/>
      <c r="H844" s="24"/>
      <c r="I844" s="24"/>
    </row>
    <row r="845" spans="7:9" ht="12.75" x14ac:dyDescent="0.2">
      <c r="G845" s="24"/>
      <c r="H845" s="24"/>
      <c r="I845" s="24"/>
    </row>
    <row r="846" spans="7:9" ht="12.75" x14ac:dyDescent="0.2">
      <c r="G846" s="24"/>
      <c r="H846" s="24"/>
      <c r="I846" s="24"/>
    </row>
    <row r="847" spans="7:9" ht="12.75" x14ac:dyDescent="0.2">
      <c r="G847" s="24"/>
      <c r="H847" s="24"/>
      <c r="I847" s="24"/>
    </row>
    <row r="848" spans="7:9" ht="12.75" x14ac:dyDescent="0.2">
      <c r="G848" s="24"/>
      <c r="H848" s="24"/>
      <c r="I848" s="24"/>
    </row>
    <row r="849" spans="7:9" ht="12.75" x14ac:dyDescent="0.2">
      <c r="G849" s="24"/>
      <c r="H849" s="24"/>
      <c r="I849" s="24"/>
    </row>
    <row r="850" spans="7:9" ht="12.75" x14ac:dyDescent="0.2">
      <c r="G850" s="24"/>
      <c r="H850" s="24"/>
      <c r="I850" s="24"/>
    </row>
    <row r="851" spans="7:9" ht="12.75" x14ac:dyDescent="0.2">
      <c r="G851" s="24"/>
      <c r="H851" s="24"/>
      <c r="I851" s="24"/>
    </row>
    <row r="852" spans="7:9" ht="12.75" x14ac:dyDescent="0.2">
      <c r="G852" s="24"/>
      <c r="H852" s="24"/>
      <c r="I852" s="24"/>
    </row>
    <row r="853" spans="7:9" ht="12.75" x14ac:dyDescent="0.2">
      <c r="G853" s="24"/>
      <c r="H853" s="24"/>
      <c r="I853" s="24"/>
    </row>
    <row r="854" spans="7:9" ht="12.75" x14ac:dyDescent="0.2">
      <c r="G854" s="24"/>
      <c r="H854" s="24"/>
      <c r="I854" s="24"/>
    </row>
    <row r="855" spans="7:9" ht="12.75" x14ac:dyDescent="0.2">
      <c r="G855" s="24"/>
      <c r="H855" s="24"/>
      <c r="I855" s="24"/>
    </row>
    <row r="856" spans="7:9" ht="12.75" x14ac:dyDescent="0.2">
      <c r="G856" s="24"/>
      <c r="H856" s="24"/>
      <c r="I856" s="24"/>
    </row>
    <row r="857" spans="7:9" ht="12.75" x14ac:dyDescent="0.2">
      <c r="G857" s="24"/>
      <c r="H857" s="24"/>
      <c r="I857" s="24"/>
    </row>
    <row r="858" spans="7:9" ht="12.75" x14ac:dyDescent="0.2">
      <c r="G858" s="24"/>
      <c r="H858" s="24"/>
      <c r="I858" s="24"/>
    </row>
    <row r="859" spans="7:9" ht="12.75" x14ac:dyDescent="0.2">
      <c r="G859" s="24"/>
      <c r="H859" s="24"/>
      <c r="I859" s="24"/>
    </row>
    <row r="860" spans="7:9" ht="12.75" x14ac:dyDescent="0.2">
      <c r="G860" s="24"/>
      <c r="H860" s="24"/>
      <c r="I860" s="24"/>
    </row>
    <row r="861" spans="7:9" ht="12.75" x14ac:dyDescent="0.2">
      <c r="G861" s="24"/>
      <c r="H861" s="24"/>
      <c r="I861" s="24"/>
    </row>
    <row r="862" spans="7:9" ht="12.75" x14ac:dyDescent="0.2">
      <c r="G862" s="24"/>
      <c r="H862" s="24"/>
      <c r="I862" s="24"/>
    </row>
    <row r="863" spans="7:9" ht="12.75" x14ac:dyDescent="0.2">
      <c r="G863" s="24"/>
      <c r="H863" s="24"/>
      <c r="I863" s="24"/>
    </row>
    <row r="864" spans="7:9" ht="12.75" x14ac:dyDescent="0.2">
      <c r="G864" s="24"/>
      <c r="H864" s="24"/>
      <c r="I864" s="24"/>
    </row>
    <row r="865" spans="7:9" ht="12.75" x14ac:dyDescent="0.2">
      <c r="G865" s="24"/>
      <c r="H865" s="24"/>
      <c r="I865" s="24"/>
    </row>
    <row r="866" spans="7:9" ht="12.75" x14ac:dyDescent="0.2">
      <c r="G866" s="24"/>
      <c r="H866" s="24"/>
      <c r="I866" s="24"/>
    </row>
    <row r="867" spans="7:9" ht="12.75" x14ac:dyDescent="0.2">
      <c r="G867" s="24"/>
      <c r="H867" s="24"/>
      <c r="I867" s="24"/>
    </row>
    <row r="868" spans="7:9" ht="12.75" x14ac:dyDescent="0.2">
      <c r="G868" s="24"/>
      <c r="H868" s="24"/>
      <c r="I868" s="24"/>
    </row>
    <row r="869" spans="7:9" ht="12.75" x14ac:dyDescent="0.2">
      <c r="G869" s="24"/>
      <c r="H869" s="24"/>
      <c r="I869" s="24"/>
    </row>
    <row r="870" spans="7:9" ht="12.75" x14ac:dyDescent="0.2">
      <c r="G870" s="24"/>
      <c r="H870" s="24"/>
      <c r="I870" s="24"/>
    </row>
    <row r="871" spans="7:9" ht="12.75" x14ac:dyDescent="0.2">
      <c r="G871" s="24"/>
      <c r="H871" s="24"/>
      <c r="I871" s="24"/>
    </row>
    <row r="872" spans="7:9" ht="12.75" x14ac:dyDescent="0.2">
      <c r="G872" s="24"/>
      <c r="H872" s="24"/>
      <c r="I872" s="24"/>
    </row>
    <row r="873" spans="7:9" ht="12.75" x14ac:dyDescent="0.2">
      <c r="G873" s="24"/>
      <c r="H873" s="24"/>
      <c r="I873" s="24"/>
    </row>
    <row r="874" spans="7:9" ht="12.75" x14ac:dyDescent="0.2">
      <c r="G874" s="24"/>
      <c r="H874" s="24"/>
      <c r="I874" s="24"/>
    </row>
    <row r="875" spans="7:9" ht="12.75" x14ac:dyDescent="0.2">
      <c r="G875" s="24"/>
      <c r="H875" s="24"/>
      <c r="I875" s="24"/>
    </row>
    <row r="876" spans="7:9" ht="12.75" x14ac:dyDescent="0.2">
      <c r="G876" s="24"/>
      <c r="H876" s="24"/>
      <c r="I876" s="24"/>
    </row>
    <row r="877" spans="7:9" ht="12.75" x14ac:dyDescent="0.2">
      <c r="G877" s="24"/>
      <c r="H877" s="24"/>
      <c r="I877" s="24"/>
    </row>
    <row r="878" spans="7:9" ht="12.75" x14ac:dyDescent="0.2">
      <c r="G878" s="24"/>
      <c r="H878" s="24"/>
      <c r="I878" s="24"/>
    </row>
    <row r="879" spans="7:9" ht="12.75" x14ac:dyDescent="0.2">
      <c r="G879" s="24"/>
      <c r="H879" s="24"/>
      <c r="I879" s="24"/>
    </row>
    <row r="880" spans="7:9" ht="12.75" x14ac:dyDescent="0.2">
      <c r="G880" s="24"/>
      <c r="H880" s="24"/>
      <c r="I880" s="24"/>
    </row>
    <row r="881" spans="7:9" ht="12.75" x14ac:dyDescent="0.2">
      <c r="G881" s="24"/>
      <c r="H881" s="24"/>
      <c r="I881" s="24"/>
    </row>
    <row r="882" spans="7:9" ht="12.75" x14ac:dyDescent="0.2">
      <c r="G882" s="24"/>
      <c r="H882" s="24"/>
      <c r="I882" s="24"/>
    </row>
    <row r="883" spans="7:9" ht="12.75" x14ac:dyDescent="0.2">
      <c r="G883" s="24"/>
      <c r="H883" s="24"/>
      <c r="I883" s="24"/>
    </row>
    <row r="884" spans="7:9" ht="12.75" x14ac:dyDescent="0.2">
      <c r="G884" s="24"/>
      <c r="H884" s="24"/>
      <c r="I884" s="24"/>
    </row>
    <row r="885" spans="7:9" ht="12.75" x14ac:dyDescent="0.2">
      <c r="G885" s="24"/>
      <c r="H885" s="24"/>
      <c r="I885" s="24"/>
    </row>
    <row r="886" spans="7:9" ht="12.75" x14ac:dyDescent="0.2">
      <c r="G886" s="24"/>
      <c r="H886" s="24"/>
      <c r="I886" s="24"/>
    </row>
    <row r="887" spans="7:9" ht="12.75" x14ac:dyDescent="0.2">
      <c r="G887" s="24"/>
      <c r="H887" s="24"/>
      <c r="I887" s="24"/>
    </row>
    <row r="888" spans="7:9" ht="12.75" x14ac:dyDescent="0.2">
      <c r="G888" s="24"/>
      <c r="H888" s="24"/>
      <c r="I888" s="24"/>
    </row>
    <row r="889" spans="7:9" ht="12.75" x14ac:dyDescent="0.2">
      <c r="G889" s="24"/>
      <c r="H889" s="24"/>
      <c r="I889" s="24"/>
    </row>
    <row r="890" spans="7:9" ht="12.75" x14ac:dyDescent="0.2">
      <c r="G890" s="24"/>
      <c r="H890" s="24"/>
      <c r="I890" s="24"/>
    </row>
    <row r="891" spans="7:9" ht="12.75" x14ac:dyDescent="0.2">
      <c r="G891" s="24"/>
      <c r="H891" s="24"/>
      <c r="I891" s="24"/>
    </row>
    <row r="892" spans="7:9" ht="12.75" x14ac:dyDescent="0.2">
      <c r="G892" s="24"/>
      <c r="H892" s="24"/>
      <c r="I892" s="24"/>
    </row>
    <row r="893" spans="7:9" ht="12.75" x14ac:dyDescent="0.2">
      <c r="G893" s="24"/>
      <c r="H893" s="24"/>
      <c r="I893" s="24"/>
    </row>
    <row r="894" spans="7:9" ht="12.75" x14ac:dyDescent="0.2">
      <c r="G894" s="24"/>
      <c r="H894" s="24"/>
      <c r="I894" s="24"/>
    </row>
    <row r="895" spans="7:9" ht="12.75" x14ac:dyDescent="0.2">
      <c r="G895" s="24"/>
      <c r="H895" s="24"/>
      <c r="I895" s="24"/>
    </row>
    <row r="896" spans="7:9" ht="12.75" x14ac:dyDescent="0.2">
      <c r="G896" s="24"/>
      <c r="H896" s="24"/>
      <c r="I896" s="24"/>
    </row>
    <row r="897" spans="7:9" ht="12.75" x14ac:dyDescent="0.2">
      <c r="G897" s="24"/>
      <c r="H897" s="24"/>
      <c r="I897" s="24"/>
    </row>
    <row r="898" spans="7:9" ht="12.75" x14ac:dyDescent="0.2">
      <c r="G898" s="24"/>
      <c r="H898" s="24"/>
      <c r="I898" s="24"/>
    </row>
    <row r="899" spans="7:9" ht="12.75" x14ac:dyDescent="0.2">
      <c r="G899" s="24"/>
      <c r="H899" s="24"/>
      <c r="I899" s="24"/>
    </row>
    <row r="900" spans="7:9" ht="12.75" x14ac:dyDescent="0.2">
      <c r="G900" s="24"/>
      <c r="H900" s="24"/>
      <c r="I900" s="24"/>
    </row>
    <row r="901" spans="7:9" ht="12.75" x14ac:dyDescent="0.2">
      <c r="G901" s="24"/>
      <c r="H901" s="24"/>
      <c r="I901" s="24"/>
    </row>
    <row r="902" spans="7:9" ht="12.75" x14ac:dyDescent="0.2">
      <c r="G902" s="24"/>
      <c r="H902" s="24"/>
      <c r="I902" s="24"/>
    </row>
    <row r="903" spans="7:9" ht="12.75" x14ac:dyDescent="0.2">
      <c r="G903" s="24"/>
      <c r="H903" s="24"/>
      <c r="I903" s="24"/>
    </row>
    <row r="904" spans="7:9" ht="12.75" x14ac:dyDescent="0.2">
      <c r="G904" s="24"/>
      <c r="H904" s="24"/>
      <c r="I904" s="24"/>
    </row>
    <row r="905" spans="7:9" ht="12.75" x14ac:dyDescent="0.2">
      <c r="G905" s="24"/>
      <c r="H905" s="24"/>
      <c r="I905" s="24"/>
    </row>
    <row r="906" spans="7:9" ht="12.75" x14ac:dyDescent="0.2">
      <c r="G906" s="24"/>
      <c r="H906" s="24"/>
      <c r="I906" s="24"/>
    </row>
    <row r="907" spans="7:9" ht="12.75" x14ac:dyDescent="0.2">
      <c r="G907" s="24"/>
      <c r="H907" s="24"/>
      <c r="I907" s="24"/>
    </row>
    <row r="908" spans="7:9" ht="12.75" x14ac:dyDescent="0.2">
      <c r="G908" s="24"/>
      <c r="H908" s="24"/>
      <c r="I908" s="24"/>
    </row>
    <row r="909" spans="7:9" ht="12.75" x14ac:dyDescent="0.2">
      <c r="G909" s="24"/>
      <c r="H909" s="24"/>
      <c r="I909" s="24"/>
    </row>
    <row r="910" spans="7:9" ht="12.75" x14ac:dyDescent="0.2">
      <c r="G910" s="24"/>
      <c r="H910" s="24"/>
      <c r="I910" s="24"/>
    </row>
    <row r="911" spans="7:9" ht="12.75" x14ac:dyDescent="0.2">
      <c r="G911" s="24"/>
      <c r="H911" s="24"/>
      <c r="I911" s="24"/>
    </row>
    <row r="912" spans="7:9" ht="12.75" x14ac:dyDescent="0.2">
      <c r="G912" s="24"/>
      <c r="H912" s="24"/>
      <c r="I912" s="24"/>
    </row>
    <row r="913" spans="7:9" ht="12.75" x14ac:dyDescent="0.2">
      <c r="G913" s="24"/>
      <c r="H913" s="24"/>
      <c r="I913" s="24"/>
    </row>
    <row r="914" spans="7:9" ht="12.75" x14ac:dyDescent="0.2">
      <c r="G914" s="24"/>
      <c r="H914" s="24"/>
      <c r="I914" s="24"/>
    </row>
    <row r="915" spans="7:9" ht="12.75" x14ac:dyDescent="0.2">
      <c r="G915" s="24"/>
      <c r="H915" s="24"/>
      <c r="I915" s="24"/>
    </row>
    <row r="916" spans="7:9" ht="12.75" x14ac:dyDescent="0.2">
      <c r="G916" s="24"/>
      <c r="H916" s="24"/>
      <c r="I916" s="24"/>
    </row>
    <row r="917" spans="7:9" ht="12.75" x14ac:dyDescent="0.2">
      <c r="G917" s="24"/>
      <c r="H917" s="24"/>
      <c r="I917" s="24"/>
    </row>
    <row r="918" spans="7:9" ht="12.75" x14ac:dyDescent="0.2">
      <c r="G918" s="24"/>
      <c r="H918" s="24"/>
      <c r="I918" s="24"/>
    </row>
    <row r="919" spans="7:9" ht="12.75" x14ac:dyDescent="0.2">
      <c r="G919" s="24"/>
      <c r="H919" s="24"/>
      <c r="I919" s="24"/>
    </row>
    <row r="920" spans="7:9" ht="12.75" x14ac:dyDescent="0.2">
      <c r="G920" s="24"/>
      <c r="H920" s="24"/>
      <c r="I920" s="24"/>
    </row>
    <row r="921" spans="7:9" ht="12.75" x14ac:dyDescent="0.2">
      <c r="G921" s="24"/>
      <c r="H921" s="24"/>
      <c r="I921" s="24"/>
    </row>
    <row r="922" spans="7:9" ht="12.75" x14ac:dyDescent="0.2">
      <c r="G922" s="24"/>
      <c r="H922" s="24"/>
      <c r="I922" s="24"/>
    </row>
    <row r="923" spans="7:9" ht="12.75" x14ac:dyDescent="0.2">
      <c r="G923" s="24"/>
      <c r="H923" s="24"/>
      <c r="I923" s="24"/>
    </row>
    <row r="924" spans="7:9" ht="12.75" x14ac:dyDescent="0.2">
      <c r="G924" s="24"/>
      <c r="H924" s="24"/>
      <c r="I924" s="24"/>
    </row>
    <row r="925" spans="7:9" ht="12.75" x14ac:dyDescent="0.2">
      <c r="G925" s="24"/>
      <c r="H925" s="24"/>
      <c r="I925" s="24"/>
    </row>
    <row r="926" spans="7:9" ht="12.75" x14ac:dyDescent="0.2">
      <c r="G926" s="24"/>
      <c r="H926" s="24"/>
      <c r="I926" s="24"/>
    </row>
    <row r="927" spans="7:9" ht="12.75" x14ac:dyDescent="0.2">
      <c r="G927" s="24"/>
      <c r="H927" s="24"/>
      <c r="I927" s="24"/>
    </row>
    <row r="928" spans="7:9" ht="12.75" x14ac:dyDescent="0.2">
      <c r="G928" s="24"/>
      <c r="H928" s="24"/>
      <c r="I928" s="24"/>
    </row>
    <row r="929" spans="7:9" ht="12.75" x14ac:dyDescent="0.2">
      <c r="G929" s="24"/>
      <c r="H929" s="24"/>
      <c r="I929" s="24"/>
    </row>
    <row r="930" spans="7:9" ht="12.75" x14ac:dyDescent="0.2">
      <c r="G930" s="24"/>
      <c r="H930" s="24"/>
      <c r="I930" s="24"/>
    </row>
    <row r="931" spans="7:9" ht="12.75" x14ac:dyDescent="0.2">
      <c r="G931" s="24"/>
      <c r="H931" s="24"/>
      <c r="I931" s="24"/>
    </row>
    <row r="932" spans="7:9" ht="12.75" x14ac:dyDescent="0.2">
      <c r="G932" s="24"/>
      <c r="H932" s="24"/>
      <c r="I932" s="24"/>
    </row>
    <row r="933" spans="7:9" ht="12.75" x14ac:dyDescent="0.2">
      <c r="G933" s="24"/>
      <c r="H933" s="24"/>
      <c r="I933" s="24"/>
    </row>
    <row r="934" spans="7:9" ht="12.75" x14ac:dyDescent="0.2">
      <c r="G934" s="24"/>
      <c r="H934" s="24"/>
      <c r="I934" s="24"/>
    </row>
    <row r="935" spans="7:9" ht="12.75" x14ac:dyDescent="0.2">
      <c r="G935" s="24"/>
      <c r="H935" s="24"/>
      <c r="I935" s="24"/>
    </row>
    <row r="936" spans="7:9" ht="12.75" x14ac:dyDescent="0.2">
      <c r="G936" s="24"/>
      <c r="H936" s="24"/>
      <c r="I936" s="24"/>
    </row>
    <row r="937" spans="7:9" ht="12.75" x14ac:dyDescent="0.2">
      <c r="G937" s="24"/>
      <c r="H937" s="24"/>
      <c r="I937" s="24"/>
    </row>
    <row r="938" spans="7:9" ht="12.75" x14ac:dyDescent="0.2">
      <c r="G938" s="24"/>
      <c r="H938" s="24"/>
      <c r="I938" s="24"/>
    </row>
    <row r="939" spans="7:9" ht="12.75" x14ac:dyDescent="0.2">
      <c r="G939" s="24"/>
      <c r="H939" s="24"/>
      <c r="I939" s="24"/>
    </row>
    <row r="940" spans="7:9" ht="12.75" x14ac:dyDescent="0.2">
      <c r="G940" s="24"/>
      <c r="H940" s="24"/>
      <c r="I940" s="24"/>
    </row>
    <row r="941" spans="7:9" ht="12.75" x14ac:dyDescent="0.2">
      <c r="G941" s="24"/>
      <c r="H941" s="24"/>
      <c r="I941" s="24"/>
    </row>
    <row r="942" spans="7:9" ht="12.75" x14ac:dyDescent="0.2">
      <c r="G942" s="24"/>
      <c r="H942" s="24"/>
      <c r="I942" s="24"/>
    </row>
    <row r="943" spans="7:9" ht="12.75" x14ac:dyDescent="0.2">
      <c r="G943" s="24"/>
      <c r="H943" s="24"/>
      <c r="I943" s="24"/>
    </row>
    <row r="944" spans="7:9" ht="12.75" x14ac:dyDescent="0.2">
      <c r="G944" s="24"/>
      <c r="H944" s="24"/>
      <c r="I944" s="24"/>
    </row>
    <row r="945" spans="7:9" ht="12.75" x14ac:dyDescent="0.2">
      <c r="G945" s="24"/>
      <c r="H945" s="24"/>
      <c r="I945" s="24"/>
    </row>
    <row r="946" spans="7:9" ht="12.75" x14ac:dyDescent="0.2">
      <c r="G946" s="24"/>
      <c r="H946" s="24"/>
      <c r="I946" s="24"/>
    </row>
    <row r="947" spans="7:9" ht="12.75" x14ac:dyDescent="0.2">
      <c r="G947" s="24"/>
      <c r="H947" s="24"/>
      <c r="I947" s="24"/>
    </row>
    <row r="948" spans="7:9" ht="12.75" x14ac:dyDescent="0.2">
      <c r="G948" s="24"/>
      <c r="H948" s="24"/>
      <c r="I948" s="24"/>
    </row>
    <row r="949" spans="7:9" ht="12.75" x14ac:dyDescent="0.2">
      <c r="G949" s="24"/>
      <c r="H949" s="24"/>
      <c r="I949" s="24"/>
    </row>
    <row r="950" spans="7:9" ht="12.75" x14ac:dyDescent="0.2">
      <c r="G950" s="24"/>
      <c r="H950" s="24"/>
      <c r="I950" s="24"/>
    </row>
    <row r="951" spans="7:9" ht="12.75" x14ac:dyDescent="0.2">
      <c r="G951" s="24"/>
      <c r="H951" s="24"/>
      <c r="I951" s="24"/>
    </row>
    <row r="952" spans="7:9" ht="12.75" x14ac:dyDescent="0.2">
      <c r="G952" s="24"/>
      <c r="H952" s="24"/>
      <c r="I952" s="24"/>
    </row>
    <row r="953" spans="7:9" ht="12.75" x14ac:dyDescent="0.2">
      <c r="G953" s="24"/>
      <c r="H953" s="24"/>
      <c r="I953" s="24"/>
    </row>
    <row r="954" spans="7:9" ht="12.75" x14ac:dyDescent="0.2">
      <c r="G954" s="24"/>
      <c r="H954" s="24"/>
      <c r="I954" s="24"/>
    </row>
    <row r="955" spans="7:9" ht="12.75" x14ac:dyDescent="0.2">
      <c r="G955" s="24"/>
      <c r="H955" s="24"/>
      <c r="I955" s="24"/>
    </row>
    <row r="956" spans="7:9" ht="12.75" x14ac:dyDescent="0.2">
      <c r="G956" s="24"/>
      <c r="H956" s="24"/>
      <c r="I956" s="24"/>
    </row>
    <row r="957" spans="7:9" ht="12.75" x14ac:dyDescent="0.2">
      <c r="G957" s="24"/>
      <c r="H957" s="24"/>
      <c r="I957" s="24"/>
    </row>
    <row r="958" spans="7:9" ht="12.75" x14ac:dyDescent="0.2">
      <c r="G958" s="24"/>
      <c r="H958" s="24"/>
      <c r="I958" s="24"/>
    </row>
    <row r="959" spans="7:9" ht="12.75" x14ac:dyDescent="0.2">
      <c r="G959" s="24"/>
      <c r="H959" s="24"/>
      <c r="I959" s="24"/>
    </row>
    <row r="960" spans="7:9" ht="12.75" x14ac:dyDescent="0.2">
      <c r="G960" s="24"/>
      <c r="H960" s="24"/>
      <c r="I960" s="24"/>
    </row>
    <row r="961" spans="7:9" ht="12.75" x14ac:dyDescent="0.2">
      <c r="G961" s="24"/>
      <c r="H961" s="24"/>
      <c r="I961" s="24"/>
    </row>
    <row r="962" spans="7:9" ht="12.75" x14ac:dyDescent="0.2">
      <c r="G962" s="24"/>
      <c r="H962" s="24"/>
      <c r="I962" s="24"/>
    </row>
    <row r="963" spans="7:9" ht="12.75" x14ac:dyDescent="0.2">
      <c r="G963" s="24"/>
      <c r="H963" s="24"/>
      <c r="I963" s="24"/>
    </row>
    <row r="964" spans="7:9" ht="12.75" x14ac:dyDescent="0.2">
      <c r="G964" s="24"/>
      <c r="H964" s="24"/>
      <c r="I964" s="24"/>
    </row>
    <row r="965" spans="7:9" ht="12.75" x14ac:dyDescent="0.2">
      <c r="G965" s="24"/>
      <c r="H965" s="24"/>
      <c r="I965" s="24"/>
    </row>
    <row r="966" spans="7:9" ht="12.75" x14ac:dyDescent="0.2">
      <c r="G966" s="24"/>
      <c r="H966" s="24"/>
      <c r="I966" s="24"/>
    </row>
    <row r="967" spans="7:9" ht="12.75" x14ac:dyDescent="0.2">
      <c r="G967" s="24"/>
      <c r="H967" s="24"/>
      <c r="I967" s="24"/>
    </row>
    <row r="968" spans="7:9" ht="12.75" x14ac:dyDescent="0.2">
      <c r="G968" s="24"/>
      <c r="H968" s="24"/>
      <c r="I968" s="24"/>
    </row>
    <row r="969" spans="7:9" ht="12.75" x14ac:dyDescent="0.2">
      <c r="G969" s="24"/>
      <c r="H969" s="24"/>
      <c r="I969" s="24"/>
    </row>
    <row r="970" spans="7:9" ht="12.75" x14ac:dyDescent="0.2">
      <c r="G970" s="24"/>
      <c r="H970" s="24"/>
      <c r="I970" s="24"/>
    </row>
    <row r="971" spans="7:9" ht="12.75" x14ac:dyDescent="0.2">
      <c r="G971" s="24"/>
      <c r="H971" s="24"/>
      <c r="I971" s="24"/>
    </row>
    <row r="972" spans="7:9" ht="12.75" x14ac:dyDescent="0.2">
      <c r="G972" s="24"/>
      <c r="H972" s="24"/>
      <c r="I972" s="24"/>
    </row>
    <row r="973" spans="7:9" ht="12.75" x14ac:dyDescent="0.2">
      <c r="G973" s="24"/>
      <c r="H973" s="24"/>
      <c r="I973" s="24"/>
    </row>
    <row r="974" spans="7:9" ht="12.75" x14ac:dyDescent="0.2">
      <c r="G974" s="24"/>
      <c r="H974" s="24"/>
      <c r="I974" s="24"/>
    </row>
    <row r="975" spans="7:9" ht="12.75" x14ac:dyDescent="0.2">
      <c r="G975" s="24"/>
      <c r="H975" s="24"/>
      <c r="I975" s="24"/>
    </row>
    <row r="976" spans="7:9" ht="12.75" x14ac:dyDescent="0.2">
      <c r="G976" s="24"/>
      <c r="H976" s="24"/>
      <c r="I976" s="24"/>
    </row>
    <row r="977" spans="7:9" ht="12.75" x14ac:dyDescent="0.2">
      <c r="G977" s="24"/>
      <c r="H977" s="24"/>
      <c r="I977" s="24"/>
    </row>
    <row r="978" spans="7:9" ht="12.75" x14ac:dyDescent="0.2">
      <c r="G978" s="24"/>
      <c r="H978" s="24"/>
      <c r="I978" s="24"/>
    </row>
    <row r="979" spans="7:9" ht="12.75" x14ac:dyDescent="0.2">
      <c r="G979" s="24"/>
      <c r="H979" s="24"/>
      <c r="I979" s="24"/>
    </row>
    <row r="980" spans="7:9" ht="12.75" x14ac:dyDescent="0.2">
      <c r="G980" s="24"/>
      <c r="H980" s="24"/>
      <c r="I980" s="24"/>
    </row>
    <row r="981" spans="7:9" ht="12.75" x14ac:dyDescent="0.2">
      <c r="G981" s="24"/>
      <c r="H981" s="24"/>
      <c r="I981" s="24"/>
    </row>
    <row r="982" spans="7:9" ht="12.75" x14ac:dyDescent="0.2">
      <c r="G982" s="24"/>
      <c r="H982" s="24"/>
      <c r="I982" s="24"/>
    </row>
    <row r="983" spans="7:9" ht="12.75" x14ac:dyDescent="0.2">
      <c r="G983" s="24"/>
      <c r="H983" s="24"/>
      <c r="I983" s="24"/>
    </row>
    <row r="984" spans="7:9" ht="12.75" x14ac:dyDescent="0.2">
      <c r="G984" s="24"/>
      <c r="H984" s="24"/>
      <c r="I984" s="24"/>
    </row>
    <row r="985" spans="7:9" ht="12.75" x14ac:dyDescent="0.2">
      <c r="G985" s="24"/>
      <c r="H985" s="24"/>
      <c r="I985" s="24"/>
    </row>
    <row r="986" spans="7:9" ht="12.75" x14ac:dyDescent="0.2">
      <c r="G986" s="24"/>
      <c r="H986" s="24"/>
      <c r="I986" s="24"/>
    </row>
    <row r="987" spans="7:9" ht="12.75" x14ac:dyDescent="0.2">
      <c r="G987" s="24"/>
      <c r="H987" s="24"/>
      <c r="I987" s="24"/>
    </row>
    <row r="988" spans="7:9" ht="12.75" x14ac:dyDescent="0.2">
      <c r="G988" s="24"/>
      <c r="H988" s="24"/>
      <c r="I988" s="24"/>
    </row>
    <row r="989" spans="7:9" ht="12.75" x14ac:dyDescent="0.2">
      <c r="G989" s="24"/>
      <c r="H989" s="24"/>
      <c r="I989" s="24"/>
    </row>
    <row r="990" spans="7:9" ht="12.75" x14ac:dyDescent="0.2">
      <c r="G990" s="24"/>
      <c r="H990" s="24"/>
      <c r="I990" s="24"/>
    </row>
    <row r="991" spans="7:9" ht="12.75" x14ac:dyDescent="0.2">
      <c r="G991" s="24"/>
      <c r="H991" s="24"/>
      <c r="I991" s="24"/>
    </row>
    <row r="992" spans="7:9" ht="12.75" x14ac:dyDescent="0.2">
      <c r="G992" s="24"/>
      <c r="H992" s="24"/>
      <c r="I992" s="24"/>
    </row>
    <row r="993" spans="7:9" ht="12.75" x14ac:dyDescent="0.2">
      <c r="G993" s="24"/>
      <c r="H993" s="24"/>
      <c r="I993" s="24"/>
    </row>
    <row r="994" spans="7:9" ht="12.75" x14ac:dyDescent="0.2">
      <c r="G994" s="24"/>
      <c r="H994" s="24"/>
      <c r="I994" s="24"/>
    </row>
    <row r="995" spans="7:9" ht="12.75" x14ac:dyDescent="0.2">
      <c r="G995" s="24"/>
      <c r="H995" s="24"/>
      <c r="I995" s="24"/>
    </row>
    <row r="996" spans="7:9" ht="12.75" x14ac:dyDescent="0.2">
      <c r="G996" s="24"/>
      <c r="H996" s="24"/>
      <c r="I996" s="24"/>
    </row>
    <row r="997" spans="7:9" ht="12.75" x14ac:dyDescent="0.2">
      <c r="G997" s="24"/>
      <c r="H997" s="24"/>
      <c r="I997" s="24"/>
    </row>
    <row r="998" spans="7:9" ht="12.75" x14ac:dyDescent="0.2">
      <c r="G998" s="24"/>
      <c r="H998" s="24"/>
      <c r="I998" s="24"/>
    </row>
    <row r="999" spans="7:9" ht="12.75" x14ac:dyDescent="0.2">
      <c r="G999" s="24"/>
      <c r="H999" s="24"/>
      <c r="I999" s="24"/>
    </row>
    <row r="1000" spans="7:9" ht="12.75" x14ac:dyDescent="0.2">
      <c r="G1000" s="24"/>
      <c r="H1000" s="24"/>
      <c r="I1000" s="24"/>
    </row>
    <row r="1001" spans="7:9" ht="12.75" x14ac:dyDescent="0.2">
      <c r="G1001" s="24"/>
      <c r="H1001" s="24"/>
      <c r="I1001" s="24"/>
    </row>
    <row r="1002" spans="7:9" ht="12.75" x14ac:dyDescent="0.2">
      <c r="G1002" s="24"/>
      <c r="H1002" s="24"/>
      <c r="I1002" s="24"/>
    </row>
    <row r="1003" spans="7:9" ht="12.75" x14ac:dyDescent="0.2">
      <c r="G1003" s="24"/>
      <c r="H1003" s="24"/>
      <c r="I1003" s="24"/>
    </row>
    <row r="1004" spans="7:9" ht="12.75" x14ac:dyDescent="0.2">
      <c r="G1004" s="24"/>
      <c r="H1004" s="24"/>
      <c r="I1004" s="24"/>
    </row>
    <row r="1005" spans="7:9" ht="12.75" x14ac:dyDescent="0.2">
      <c r="G1005" s="24"/>
      <c r="H1005" s="24"/>
      <c r="I1005" s="24"/>
    </row>
    <row r="1006" spans="7:9" ht="12.75" x14ac:dyDescent="0.2">
      <c r="G1006" s="24"/>
      <c r="H1006" s="24"/>
      <c r="I1006" s="24"/>
    </row>
    <row r="1007" spans="7:9" ht="12.75" x14ac:dyDescent="0.2">
      <c r="G1007" s="24"/>
      <c r="H1007" s="24"/>
      <c r="I1007" s="24"/>
    </row>
    <row r="1008" spans="7:9" ht="12.75" x14ac:dyDescent="0.2">
      <c r="G1008" s="24"/>
      <c r="H1008" s="24"/>
      <c r="I1008" s="24"/>
    </row>
    <row r="1009" spans="7:9" ht="12.75" x14ac:dyDescent="0.2">
      <c r="G1009" s="24"/>
      <c r="H1009" s="24"/>
      <c r="I1009" s="24"/>
    </row>
    <row r="1010" spans="7:9" ht="12.75" x14ac:dyDescent="0.2">
      <c r="G1010" s="24"/>
      <c r="H1010" s="24"/>
      <c r="I1010" s="24"/>
    </row>
    <row r="1011" spans="7:9" ht="12.75" x14ac:dyDescent="0.2">
      <c r="G1011" s="24"/>
      <c r="H1011" s="24"/>
      <c r="I1011" s="24"/>
    </row>
    <row r="1012" spans="7:9" ht="12.75" x14ac:dyDescent="0.2">
      <c r="G1012" s="24"/>
      <c r="H1012" s="24"/>
      <c r="I1012" s="24"/>
    </row>
    <row r="1013" spans="7:9" ht="12.75" x14ac:dyDescent="0.2">
      <c r="G1013" s="24"/>
      <c r="H1013" s="24"/>
      <c r="I1013" s="24"/>
    </row>
    <row r="1014" spans="7:9" ht="12.75" x14ac:dyDescent="0.2">
      <c r="G1014" s="24"/>
      <c r="H1014" s="24"/>
      <c r="I1014" s="24"/>
    </row>
  </sheetData>
  <dataValidations count="3">
    <dataValidation type="custom" allowBlank="1" showDropDown="1" sqref="B2:B56" xr:uid="{00000000-0002-0000-0100-000000000000}">
      <formula1>OR(TIMEVALUE(TEXT(B2, "hh:mm:ss"))=B2, AND(ISNUMBER(B2), LEFT(CELL("format", B2))="D"))</formula1>
    </dataValidation>
    <dataValidation type="custom" allowBlank="1" showDropDown="1" sqref="A2:A56" xr:uid="{00000000-0002-0000-0100-000001000000}">
      <formula1>OR(NOT(ISERROR(DATEVALUE(A2))), AND(ISNUMBER(A2), LEFT(CELL("format", A2))="D"))</formula1>
    </dataValidation>
    <dataValidation type="custom" allowBlank="1" showDropDown="1" sqref="J2:J56" xr:uid="{00000000-0002-0000-0100-000002000000}">
      <formula1>AND(ISNUMBER(J2),(NOT(OR(NOT(ISERROR(DATEVALUE(J2))), AND(ISNUMBER(J2), LEFT(CELL("format", J2))="D")))))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AR Stats Dash</vt:lpstr>
      <vt:lpstr>Arc_Raiders_Stats</vt:lpstr>
      <vt:lpstr>MatchMinutes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Bettis</cp:lastModifiedBy>
  <cp:lastPrinted>2026-06-01T18:40:59Z</cp:lastPrinted>
  <dcterms:modified xsi:type="dcterms:W3CDTF">2026-06-01T19:01:14Z</dcterms:modified>
</cp:coreProperties>
</file>